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66925"/>
  <mc:AlternateContent xmlns:mc="http://schemas.openxmlformats.org/markup-compatibility/2006">
    <mc:Choice Requires="x15">
      <x15ac:absPath xmlns:x15ac="http://schemas.microsoft.com/office/spreadsheetml/2010/11/ac" url="https://eltnmsu-my.sharepoint.com/personal/acolin_nmsu_edu1/Documents/Documents/temp to be organized/FY25 NMDA LOE Report/"/>
    </mc:Choice>
  </mc:AlternateContent>
  <xr:revisionPtr revIDLastSave="0" documentId="8_{E5A0B3F7-FEBE-46FC-80B4-1E1BFBE31F41}" xr6:coauthVersionLast="36" xr6:coauthVersionMax="36" xr10:uidLastSave="{00000000-0000-0000-0000-000000000000}"/>
  <bookViews>
    <workbookView xWindow="28680" yWindow="-120" windowWidth="29040" windowHeight="15720" activeTab="1" xr2:uid="{8F8283A2-A828-45DC-B1D2-8640B52E8BB0}"/>
  </bookViews>
  <sheets>
    <sheet name="Fed Match" sheetId="1" r:id="rId1"/>
    <sheet name="Report Tables" sheetId="2" r:id="rId2"/>
    <sheet name="Tables_cleaned" sheetId="7" r:id="rId3"/>
    <sheet name="Sheet1" sheetId="6" r:id="rId4"/>
    <sheet name="Sheet3" sheetId="8" r:id="rId5"/>
    <sheet name="lookup_table_NWMG" sheetId="5" r:id="rId6"/>
    <sheet name="lookup_table_DOG" sheetId="4" r:id="rId7"/>
    <sheet name="lookup_table_HSP" sheetId="3" r:id="rId8"/>
  </sheets>
  <definedNames>
    <definedName name="_xlnm._FilterDatabase" localSheetId="0" hidden="1">'Fed Match'!$A$34:$I$46</definedName>
    <definedName name="_xlnm._FilterDatabase" localSheetId="1" hidden="1">'Report Tables'!$A$1:$S$97</definedName>
    <definedName name="_xlnm._FilterDatabase" localSheetId="4" hidden="1">Sheet3!$A$1:$H$1</definedName>
    <definedName name="_xlnm._FilterDatabase" localSheetId="2" hidden="1">Tables_cleaned!$A$1:$W$1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7" i="1" l="1"/>
  <c r="G47" i="1" l="1"/>
  <c r="G33" i="1" l="1"/>
</calcChain>
</file>

<file path=xl/sharedStrings.xml><?xml version="1.0" encoding="utf-8"?>
<sst xmlns="http://schemas.openxmlformats.org/spreadsheetml/2006/main" count="2554" uniqueCount="989">
  <si>
    <t>entity</t>
  </si>
  <si>
    <t>Fed Match</t>
  </si>
  <si>
    <t>Upper Gila Valley Arroyos Watershed District</t>
  </si>
  <si>
    <t>a-z number</t>
  </si>
  <si>
    <t>app number</t>
  </si>
  <si>
    <t>Award Amount</t>
  </si>
  <si>
    <t>Breakdown</t>
  </si>
  <si>
    <t>62000+70000</t>
  </si>
  <si>
    <t>212058.75 + 364982</t>
  </si>
  <si>
    <t>"Pecos District BLM" + 'BLM/SWCD'?</t>
  </si>
  <si>
    <t>Border SWCD</t>
  </si>
  <si>
    <t>Carlsbad SWCD</t>
  </si>
  <si>
    <t>Central Curry SWCD</t>
  </si>
  <si>
    <t>Chaves SWCD</t>
  </si>
  <si>
    <t>Ciudad SWCD</t>
  </si>
  <si>
    <t>Colfax SWCD</t>
  </si>
  <si>
    <t>Dona Ana SWCD</t>
  </si>
  <si>
    <t>East Rio Arriba SWCD</t>
  </si>
  <si>
    <t>Northeastern SWCD</t>
  </si>
  <si>
    <t>Otero SWCD</t>
  </si>
  <si>
    <t>Quemado SWCD</t>
  </si>
  <si>
    <t>Roosevelt SWCD</t>
  </si>
  <si>
    <t>Salado SWCD</t>
  </si>
  <si>
    <t>San Juan SWCD</t>
  </si>
  <si>
    <t>SF-Pojoaque SWCD</t>
  </si>
  <si>
    <t>Socorro SWCD</t>
  </si>
  <si>
    <t>SW Quay SWCD</t>
  </si>
  <si>
    <t>Taos SWCD</t>
  </si>
  <si>
    <t>Tierra y Montes  SWCD</t>
  </si>
  <si>
    <t>Ute Creek SWCD</t>
  </si>
  <si>
    <t>Valencia SWCD</t>
  </si>
  <si>
    <t>DO Grant FY25 Federal Match Subtotal</t>
  </si>
  <si>
    <t>source/notes</t>
  </si>
  <si>
    <t>NM Wilderness Alliance 
(NM Wild)</t>
  </si>
  <si>
    <t>Santa Clara Pueblo</t>
  </si>
  <si>
    <t>Taos Land Trust</t>
  </si>
  <si>
    <t>Deming SWCD</t>
  </si>
  <si>
    <t>Sierra SWCD</t>
  </si>
  <si>
    <t>Boy Scouts of America</t>
  </si>
  <si>
    <t>16560+600+2840</t>
  </si>
  <si>
    <t>"US Forest Service, Kiowa/Rita Blanca National Grasslands"</t>
  </si>
  <si>
    <t>FYI match was entirely SLO</t>
  </si>
  <si>
    <t>NWMG FY25 Federal Match Subtotal</t>
  </si>
  <si>
    <t>0 is assumed. District has $100k of match "on hand", unclear how much is federal if any. Did not follow up.</t>
  </si>
  <si>
    <t>USFS Capacity Building (RME RFP)</t>
  </si>
  <si>
    <t>Healthy Soil Program NRCS Contribution</t>
  </si>
  <si>
    <t>Coronado SWCD EMNRD:FD IPP Match</t>
  </si>
  <si>
    <t>Sierra SWCD EMNRD:FD IPP Match</t>
  </si>
  <si>
    <t>Conservative minimum given that $6k is what we supplied for 1:1. Can't find better info on their total grant from For. Div.</t>
  </si>
  <si>
    <t>NMDA Land of Enchantment Legacy Fund FY25 Federal Match Total</t>
  </si>
  <si>
    <t>"Bureau of Land Management"</t>
  </si>
  <si>
    <t>"BLM"</t>
  </si>
  <si>
    <t>Title</t>
  </si>
  <si>
    <t xml:space="preserve">Capacity Growth for District Act Duties </t>
  </si>
  <si>
    <t>Expanding the Impact of Soil and Water (Carlsbad SWCD)</t>
  </si>
  <si>
    <t>Innovative Agriculture Community Outreach &amp; Education Project</t>
  </si>
  <si>
    <t>Chaves SWCD Land Restoration Inititiative</t>
  </si>
  <si>
    <t>Residential Rainwater Harvesting Staff Certification and Program Development</t>
  </si>
  <si>
    <t>Ciudad Soil and Water Conservation District Land Use Plan Development</t>
  </si>
  <si>
    <t>Wildland Seed Harvesting and Installation of Native Plants at Candelaria Nature Preserve and Whitfield Wildlife Conservation Area</t>
  </si>
  <si>
    <t xml:space="preserve">Colfax SWCD Capacity-Building Project </t>
  </si>
  <si>
    <t>Healthy Soils Program and Dona Ana SWCD Community Information Presentations</t>
  </si>
  <si>
    <t>East Rio Arriba SWCD Capacity Building Project</t>
  </si>
  <si>
    <t>Guadalupe SWCD Mesquite Treatment Project</t>
  </si>
  <si>
    <t>Creating Infrastructure Capital Improvement Plan (ICIP) for Northeastern SWCD</t>
  </si>
  <si>
    <t>Developing a Conservation/Land Use Plan for the Northeastern Soil &amp; Water Conservation District</t>
  </si>
  <si>
    <t>Otero SWCD Landscape Scale Watershed Project Development</t>
  </si>
  <si>
    <t>Quemado SWCD Long Range Plan/Land Use Plan Proposal</t>
  </si>
  <si>
    <t>"All About Ag" Radio Educational Program</t>
  </si>
  <si>
    <t>Salado SWCD Long Range Plan/Land Use Plan</t>
  </si>
  <si>
    <t>Sustainability &amp; Conservation Educational Workshop Series</t>
  </si>
  <si>
    <t>EAPs and O&amp;M Manuals for Flood Control Dams in Rio Arriba and Santa Fe Counties</t>
  </si>
  <si>
    <t>Socorro SWCD Staff Training and Conservation Planning</t>
  </si>
  <si>
    <t>Socorro Nature Area Restoration and Expansion</t>
  </si>
  <si>
    <t>Groundwater Development and Conservation in SW Quay SWCD</t>
  </si>
  <si>
    <t>Taos SWCD Capacity Project 2024</t>
  </si>
  <si>
    <t>Taos SWCD Conservation Education Project 2024</t>
  </si>
  <si>
    <t>Critical Landscape Scale Forest Health and Fuels Reduction</t>
  </si>
  <si>
    <t>Tierra y Montes SWCD Outreach &amp; Education</t>
  </si>
  <si>
    <t>Upper Gila Valley Arroyos Watershed District Flood Control Dam Sediment Removal</t>
  </si>
  <si>
    <t>Ute Creek SWCD Erosion Control Workshop</t>
  </si>
  <si>
    <t>Ute Creek SWCD Long Range Plan</t>
  </si>
  <si>
    <t>Building Conservation Capacity in the Aftermath of the Big Hole Fire</t>
  </si>
  <si>
    <t>Planning Conservation with the Residents for the Valencia Soil and Water Conservation District (VSWCD, Valencia SWCD)</t>
  </si>
  <si>
    <t>County</t>
  </si>
  <si>
    <t>Chaves, Roosevelt</t>
  </si>
  <si>
    <t>Eddy, Otero</t>
  </si>
  <si>
    <t>Curry, De Baca</t>
  </si>
  <si>
    <t>Chaves, Lincoln</t>
  </si>
  <si>
    <t>Bernalillo, Sandoval</t>
  </si>
  <si>
    <t>Colfax</t>
  </si>
  <si>
    <t>Guadalupe</t>
  </si>
  <si>
    <t>Otero</t>
  </si>
  <si>
    <t>Roosevelt</t>
  </si>
  <si>
    <t>Salado</t>
  </si>
  <si>
    <t>Socorro</t>
  </si>
  <si>
    <t>Taos</t>
  </si>
  <si>
    <t>Valencia</t>
  </si>
  <si>
    <t>Dona Ana</t>
  </si>
  <si>
    <t>Rio Arriba</t>
  </si>
  <si>
    <t>Quay</t>
  </si>
  <si>
    <t>Guadalupe SWCD</t>
  </si>
  <si>
    <t>Union</t>
  </si>
  <si>
    <t>Catron, Cibola</t>
  </si>
  <si>
    <t>Catron, Socorro, Cibola</t>
  </si>
  <si>
    <t>San Juan, Rio Arriba, Sandoval</t>
  </si>
  <si>
    <t>Santa Fe</t>
  </si>
  <si>
    <t>Santa Fe, Rio Arriba</t>
  </si>
  <si>
    <t>San Miguel</t>
  </si>
  <si>
    <t>Harding, San Miguel, Union</t>
  </si>
  <si>
    <t>Valencia, Cibola, Bernalillo</t>
  </si>
  <si>
    <t>Grant</t>
  </si>
  <si>
    <t>Leave the Lands Better Than You Found Them Through NWM</t>
  </si>
  <si>
    <t>Crater Lake Noxious Weed Treatment</t>
  </si>
  <si>
    <t>African Rue Treatment in southeastern NM</t>
  </si>
  <si>
    <t>Control of Noxious Weeds in Chaves County</t>
  </si>
  <si>
    <t>White Peak Landscape Invasive Thistle Mapping and Treatment</t>
  </si>
  <si>
    <t>Luna County Integrated Weed Management</t>
  </si>
  <si>
    <t>Gila Wilderness-Invasive Species Field Team</t>
  </si>
  <si>
    <t>Invasive Plant Species Management Plan</t>
  </si>
  <si>
    <t>Tiffany Basin Saltcedar Resprout Treatment</t>
  </si>
  <si>
    <t>Socorro SWCD Holmes Property Continuing Habitat Restoration</t>
  </si>
  <si>
    <t>Rio Fernando Park and Vigil y Romo Acequia Invasive Species Mitigation</t>
  </si>
  <si>
    <t>Canadian River Noxious Weed Treatment</t>
  </si>
  <si>
    <t>Luna</t>
  </si>
  <si>
    <t>Eddy</t>
  </si>
  <si>
    <t>Chaves</t>
  </si>
  <si>
    <t>Sierra</t>
  </si>
  <si>
    <t>Catron</t>
  </si>
  <si>
    <t>Santa Clara Pueblo, Rio Arriba</t>
  </si>
  <si>
    <t>Southwest Quay SWCD</t>
  </si>
  <si>
    <t>Santa Fe-Pojoaque SWCD</t>
  </si>
  <si>
    <t>Caballo SWCD</t>
  </si>
  <si>
    <t>Noxious Weed Management Grant</t>
  </si>
  <si>
    <t>Healthy Soil Program Eligible Entities</t>
  </si>
  <si>
    <t>Healthy Soil Program Individual Applicants</t>
  </si>
  <si>
    <t>John Kennedy</t>
  </si>
  <si>
    <t>Joaquin Lujan</t>
  </si>
  <si>
    <t>Laura Waymire</t>
  </si>
  <si>
    <t>Maribeth Troyer</t>
  </si>
  <si>
    <t>Aaron Jones</t>
  </si>
  <si>
    <t>Galen Hutchins</t>
  </si>
  <si>
    <t>Zachary Cordel</t>
  </si>
  <si>
    <t>Dwight McGee</t>
  </si>
  <si>
    <t>Bustamante Farms</t>
  </si>
  <si>
    <t>Farm Shark</t>
  </si>
  <si>
    <t>Red Bee Farm</t>
  </si>
  <si>
    <t>Sunsupp</t>
  </si>
  <si>
    <t>Julia Hadden</t>
  </si>
  <si>
    <t>Kathleen Groody, Owner of Groody Farm</t>
  </si>
  <si>
    <t>The With Many Hands Puerto Rico Ave. Community Garden</t>
  </si>
  <si>
    <t>Jeff Hood, Rio Grande Refuge</t>
  </si>
  <si>
    <t>Laramie Hardin</t>
  </si>
  <si>
    <t>Ronald Garay</t>
  </si>
  <si>
    <t>Farmer</t>
  </si>
  <si>
    <t>DeGuire's "Good Stuff" Family Farm</t>
  </si>
  <si>
    <t>Hozho Voices of Healing Center</t>
  </si>
  <si>
    <t>Tularosa Vineyards and Winery</t>
  </si>
  <si>
    <t>Night Sky Ranch, LLC</t>
  </si>
  <si>
    <t>Terry Cone</t>
  </si>
  <si>
    <t>Land owner-occupant and active participant</t>
  </si>
  <si>
    <t>South Valley Schrebergarten</t>
  </si>
  <si>
    <t>Sam coad</t>
  </si>
  <si>
    <t>Regerotive Farmer</t>
  </si>
  <si>
    <t>Black Rabbit Farm Apothecary</t>
  </si>
  <si>
    <t>Bidii Baby Foods LLC</t>
  </si>
  <si>
    <t>Edgars Farm</t>
  </si>
  <si>
    <t>Santa Fe Conservation Trust</t>
  </si>
  <si>
    <t>Carlos Armendariz , Armendariz Cattle Co.</t>
  </si>
  <si>
    <t>Neal Delk</t>
  </si>
  <si>
    <t>(blank)</t>
  </si>
  <si>
    <t>Shelley Winship, Hearts Abloom</t>
  </si>
  <si>
    <t>Nicholas Nelmsoverholtzer at Wild Eden Inc.</t>
  </si>
  <si>
    <t>Peter Callen, Habitat Farms Collective, LLC</t>
  </si>
  <si>
    <t>Robert C Woody, sole member Woody New Mexico, LLC</t>
  </si>
  <si>
    <t>Farm 47</t>
  </si>
  <si>
    <t>Common Kin Farm</t>
  </si>
  <si>
    <t>Gathings Gardens</t>
  </si>
  <si>
    <t>Barnhouse Farms, Toby &amp; Kimberly Bostwick, producers</t>
  </si>
  <si>
    <t>Land manager</t>
  </si>
  <si>
    <t>Owner</t>
  </si>
  <si>
    <t>Land Manager</t>
  </si>
  <si>
    <t>Good Dirt Farm</t>
  </si>
  <si>
    <t>Railyard Park Conservancy, Peggyjoy Hodgen</t>
  </si>
  <si>
    <t>Chook Acres</t>
  </si>
  <si>
    <t>Ranch Girls</t>
  </si>
  <si>
    <t>Fishburn Family Trust</t>
  </si>
  <si>
    <t>David L. Holz</t>
  </si>
  <si>
    <t>Baca Family Farm, LLC</t>
  </si>
  <si>
    <t>healing hearts sanctuary farm</t>
  </si>
  <si>
    <t>Los Jardines Institute</t>
  </si>
  <si>
    <t>Maggie Knapp, and The New Mexico Bison Restoration Network</t>
  </si>
  <si>
    <t>Singing Goat Farm</t>
  </si>
  <si>
    <t>GreenFingers Farm</t>
  </si>
  <si>
    <t>Wilderwood Farm</t>
  </si>
  <si>
    <t>Farm is "Hope Garden". Company is "The Community Pantry", Brent J Crowe-I am the Programs Coordinator</t>
  </si>
  <si>
    <t>Harrison Farms</t>
  </si>
  <si>
    <t>Chimayó Cultural Preservation Association</t>
  </si>
  <si>
    <t>Rio Nutrias Farmstead</t>
  </si>
  <si>
    <t>Mandy's Farm</t>
  </si>
  <si>
    <t>Ledoux Grange, LLC/ Kristin Swoszowski-Tran</t>
  </si>
  <si>
    <t>Emmanuel Lescombes</t>
  </si>
  <si>
    <t>app#</t>
  </si>
  <si>
    <t>Refer to as:</t>
  </si>
  <si>
    <t>Brenda Allen</t>
  </si>
  <si>
    <t>Elnora Nuggent</t>
  </si>
  <si>
    <t>Raymon Copeland</t>
  </si>
  <si>
    <t>Bill Williams</t>
  </si>
  <si>
    <t>Barry Allen</t>
  </si>
  <si>
    <t>Emmanual Lescombes</t>
  </si>
  <si>
    <t>county</t>
  </si>
  <si>
    <t xml:space="preserve">Taos </t>
  </si>
  <si>
    <t xml:space="preserve">Mora </t>
  </si>
  <si>
    <t xml:space="preserve">Sandoval </t>
  </si>
  <si>
    <t xml:space="preserve">Otero </t>
  </si>
  <si>
    <t xml:space="preserve">Rio Arriba </t>
  </si>
  <si>
    <t xml:space="preserve">San Juan </t>
  </si>
  <si>
    <t xml:space="preserve">Doña Ana </t>
  </si>
  <si>
    <t xml:space="preserve">McKinley </t>
  </si>
  <si>
    <t xml:space="preserve">Roosevelt </t>
  </si>
  <si>
    <t xml:space="preserve">Santa Fe </t>
  </si>
  <si>
    <t xml:space="preserve">Bernalillo </t>
  </si>
  <si>
    <t xml:space="preserve">Eddy </t>
  </si>
  <si>
    <t xml:space="preserve">Socorro </t>
  </si>
  <si>
    <t xml:space="preserve">Valencia </t>
  </si>
  <si>
    <t xml:space="preserve">Guadalupe </t>
  </si>
  <si>
    <t xml:space="preserve">Curry </t>
  </si>
  <si>
    <t xml:space="preserve">Grant </t>
  </si>
  <si>
    <t>26+1+3+.4 acres for irrigation improvement, 32 acres of fencing improvement, all for grass/grazing. Improving soil diversity, grazing</t>
  </si>
  <si>
    <t>Restoration on 3.77 acres of riparian rangeland involving replacing burnt trees, seeding cool-season grasses, wildflowers, and bale grazing with goats, as well as innovative fodder production from onsite plants to provide mulch and manure. These practices suppress weeds and sustain soil cover for improved soil health and biodiversity.</t>
  </si>
  <si>
    <t>The main project will occur on 7.9 acres of overgrown Bosque land adjacent to the Rio Grande River. The resource concerns include: decreased plant species/composition; decreased plant productivity/health; lack of soil biodiversity. Agricultural/Conservation practices include: prescribed grazing, temporary fencing, range planting, conservation cover, and pollinator habitat establishment.</t>
  </si>
  <si>
    <t>The With Many Hands Puerto Rico Ave. Public Community Garden will be operating a free to the public diversified annual fruit and vegetable garden on .63 acres. The soil health related resource concerns include, lack of soil organic matter, and compaction. A compost application will be the conservation practice implemented.</t>
  </si>
  <si>
    <t>Prune 30 apple trees, clear pasture of invasive species (elm, russian olive, privet); replace old fence with sheep fence and buy moveable electric fence: replace flood irrigation with 8" aluminum pipe: eliminate soil tillage.</t>
  </si>
  <si>
    <t>This project will regenerate 4.5 acres of degraded cropland in the Animas River Valley by addressing soil depletion through no-till seeding of multispecies cover crops, weed free straw bale mulching, and bi-monthly applications of worm casting tea, enhancing soil structure, organic matter, and biodiversity.</t>
  </si>
  <si>
    <t>28 acres cropland. 14 acres will be continuation of 2024 grant to address depleted soil, lack of biodiversity, dying trees and high sodium content in ground water. Second 14 acres will establish a healthy environment for young trees. Cover crops, no till, natural fertilizers and worm castings will be implemented.</t>
  </si>
  <si>
    <t>We will be using the grant to build healthy soils on 52 acres.  Cropland Build healthy topsoil to sustain cover crops and main harvestable crops No-till farming, Regenerative agriculture, Cattle graving program.</t>
  </si>
  <si>
    <t>Our Project is on 0.5 acres of cropland. Our soil health concerns are Low Organic Matter, Poor Structure, Soil Compaction and Lack of Biodiversity.  The practices we will implement are:  planting a cover crop - allowing the goats to harvest, keeping the soil covered and planting a diverse pollinator habitat.</t>
  </si>
  <si>
    <t>We aim to create soil that is constantly covered, maintains living roots year round, nourishes microbial life, retains water, and provides food for all living beings: humans, livestock, and wildlife. This project site will be a demonstration to the community on how to sustainably manage land in the desert southwest</t>
  </si>
  <si>
    <t>The 7.5 acres of cropland has been in fallow since 2011.  The soil health is poor, lacking biodiversity, the organic matter is depleted, the soil is compacted and the structure has eroded.  Planting cover crops and a hedgerow will improve the soils aggregate stability and maximize the soil biodiversity.</t>
  </si>
  <si>
    <t>We plan to break up the 270 acres of our rangeland of hard pan under our soil by mechanical means in order to give the plant roots a path to reach more nutrients and moisture.</t>
  </si>
  <si>
    <t>620 acers of cropland in Roosevelt County. Organic Matter Depletion is an expected resource concern for typical crop rotations in Roosevelt County. Carbon based fertilizer, CarbS, will be applied to improve this concern.</t>
  </si>
  <si>
    <t>Cropland  2.5 acres.  Low soil organic matter.  Soil compaction and soil erosion (wind).  Hedgerow planting, nutrient management, cover crops, mulching, pasture and hay planting and herbaceous wind barriers</t>
  </si>
  <si>
    <t>Final product is community garden of .30 acres on crop land, cover crop after the 2024 food crop of seed oats, peas and radishes. Garden boxes in spring. current identified soil problems are soil erosion, low soil organic matter, reduced water infiltration, soil compaction, and  and extreme lack of biodiversity</t>
  </si>
  <si>
    <t>8 acres of which 6 acres of range land will be sage removed and grasses added to allow for alpacas to come in and grase and restore the land</t>
  </si>
  <si>
    <t>0.5 acres but impact across lower West Pasture. Rangeland Concerns: OM depletion, soil organism loss, aggregate instability, decreased infiltration, gulley erosion, sheet and rill erosion. Practices: woody residue treatment, mulching, range planting, fencing, watering facility, and bale grazing.</t>
  </si>
  <si>
    <t>52 Acres Cropland and range land Improve healthy soil Regenerative Agriculture</t>
  </si>
  <si>
    <t>The project is to clear and fence 6.2 acres of rangeland and use separated pens to allow rotational grazing for goats and alpacas to restore the land</t>
  </si>
  <si>
    <t>My main goal on the project area of .63 acres of cropland is to improve soil health thereby impacting crop productivity/health and providing education to others.  I will be transitioning to no-till practices and improving my crop rotation.  Permanent raised beds with various mulching techniques will address weed control issues.</t>
  </si>
  <si>
    <t>1 acre of cropland. Soil related concerns we have is lack of organic matter, soil erosion, soil compaction, lack of biodiversity and plant health issues. We will apply compost. We will apply mulch for lessening soil disturbance. We plan on planting trees and flowers to establish pollinator and bird habitat.</t>
  </si>
  <si>
    <t>Farm Shark is a one-acre diversified vegetable farm that raises goats, chickens, and has a large focus on value added products in addition to fresh produce. This project aims to increase soil fertility and biodiversity by integrating vermiculture into our operation and inoculating worms at all three production sites.</t>
  </si>
  <si>
    <t>Black Rabbit Farm Apothecary is a new project that will focus on sustainably growing specialty crops for home consumption and community donation as well as medicinal and culinary herbs for direct sale and for use in value-added apothecary products.</t>
  </si>
  <si>
    <t>Continued compost application and cover cropping is essential for our soil health improvements. Crop rotation, cover cropping and composting allow us to keep our soil covered, reduce erosion, minimize tilling and improve overall production.</t>
  </si>
  <si>
    <t>This project will span approximately 5 acres of cropland and includes, establishing a permanent pasture; planting perennial shrubs, trees and groundcover on barren hillsides; planting a native perennial pollinator plot; and creating a no-till food plot. These interventions will reduce erosion, improve soil heath and help support pollinator species.</t>
  </si>
  <si>
    <t>10.75 acres of rangeland that is subject to wind erosion and lack of plant species growth. 1 acre of cropland that suffers from lack of biodiversity, low soil organic matter, and erosion.  Implementing practices such as range planting, herbaceous weed treatment, crop cover and crop rotation.</t>
  </si>
  <si>
    <t>Santa Fe Conservation Trust (SFCT) is rehabilitating an approximately 8-acre area within a larger 300-acre rangeland property near Lamy, NM. Currently the site has several resource concerns, such as bare soil, insufficient plant species and composition, lack of soil biodiversity, low soil organic matter, and decreased plant productivity and health.</t>
  </si>
  <si>
    <t>This project will implement a 9 pasture grazing rotation on 1,760 acres of rangeland through the use of Virtual-Fencing technology. Resource concerns addressed: maximize soil cover minimizing external inputs maximizing biodiversity maintaining a living root minimize soil erosion maintaining adequate quantity and quality of forage for a successful grazing operation</t>
  </si>
  <si>
    <t>Amount of Land: 1 acre Land Type: Crop land, orchard Soil Health concern: compaction, lack of organic matter (&gt;3%), lack of soil cover. Conservation practices: multi-cropping, cover crops, perrenial grasses, hedgerows for insect and bird population, planting trees.</t>
  </si>
  <si>
    <t>The grant will support 494 acres of rangeland.  The soil-health related resource concerns noted on the 494 acres is that the rangeland is dominated by Blue Grama, Sand Dropseed and early succession forms with little species diversity.  Grazing Land Mechanical Treatment and Range Planting followed by prescribed grazing.</t>
  </si>
  <si>
    <t>The project is on 5 acres of rangeland/forestland in the Galisteo watershed. Concerns to be addressed are gully, sheet, &amp; rill erosion and low organic matter in soil. Practices to be implemented are erosion control, microbial inoculation, mulching, composting, conservation and pollinator cover, range planting, and critical area treatment.</t>
  </si>
  <si>
    <t>This project benefits 3 acres of cropland, addressing wind erosion, organic matter depletion, inefficient irrigation, ponding/flooding, wildlife habitat, plant structure/composition, and plant productivity/health. Project includes composting, mulching, nutrient management (incl. excess calcium/ponding issues), perennial and seasonal cover-cropping, flail mowing, drip-irrigation, land smoothing and installation of hedgerows/windbreaks.</t>
  </si>
  <si>
    <t>Soil remediation of 0.91 acres of cropland/ compacted urban lot will serve as a foundation for a multi-story permaculture food forest that serve as an educational demonstration and plant propagation hub to donate future soil remediation projects. Mileage from Ciudad SWCD's office to project location is 2.1 miles.</t>
  </si>
  <si>
    <t>6 acres of land on two former conventionally farmed alfalfa fields are being converted to multi-species, silvo-pasture with pollinator hedgerows. Also 2 of these acres will be rotationally no-till cropped for year-round wildlife forage. These changes will regenerate the compacted soil, provide windbreak and pollinator habitat, and increase diversity perennially.</t>
  </si>
  <si>
    <t>1. Plant 15 cropland acres in native grasses/wildflowers using keyline plowing, imprinting, seeding 2 .Rehabilitate south border arroyo erosion control plantings by pruning, replanting, re-forming berms. 3. Leave one acre native mesquite habitat intact  4. Re-fence lots into 2 paddocks (each 7.5 acres) for rotational grazing, reducing overgrazing and erosion.</t>
  </si>
  <si>
    <t>This .37 acre project site is a suburban flower farm in Albuquerque's NE Heights. This project will incorporate native plantings for pollinator habitat and food sources, cover crop exposed ground, and mulch walkways for water retention in the existing cultivation area.</t>
  </si>
  <si>
    <t>1.3 acre cropland  Project activities will address: erosion, lack of biodiversity, poor water percolation, low amount of organic matter in soil. Conservation activities will include: compost application and cover crop seed casting; high intensity livestock rotational grazing; and winter bale grazing.</t>
  </si>
  <si>
    <t>There is 1.5 acres of fallow land in this community. It is currently highly compacted, has poor soil structure, low organic matter, and lack of biodiversity. I will use no-till method, plant shrubs and trees, rotational goat grazing, adding compost, mulch, winter crop cover, pollinator mix, and summer crop cover.</t>
  </si>
  <si>
    <t>The project will take place on 1.5 acres and on cropland. The projects will address erosion issues from slope and wind. The project will also address adding amendments to the soil for long term improvement of the soil and irrigation system modifications to enhance aspects of the project.</t>
  </si>
  <si>
    <t>We have 125 acres with a mix of cropland, pasture, and forest.  We are looking at drilling a winter cover crop into the whole farm.  The bare ground will be covered with woodchips.  Trees will be planted into wildlife corridors.  Secure fencing will be installed to protect livestock.</t>
  </si>
  <si>
    <t>This project will incorporate 764 acres of dry-land cropland. The soil health concerns are soil erosion, low organic matter and  poor water infiltration. To address these concerns we will plant a multi-species cover crop with legumes and deep-rooting plants, half with biological inoculant.  Once established, it will include prescribed grazing.</t>
  </si>
  <si>
    <t>We are applying for this grant to improve our range land health.  We are going to use a subsoiler and grass/seeder on our 376 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</si>
  <si>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320acres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</si>
  <si>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our 779 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</si>
  <si>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our 280 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</si>
  <si>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our 193 acres during this grant to relieve compaction and reintroduce native seeds to the area.  This will allow the land to absorb moisture and increase forage coverage.</t>
  </si>
  <si>
    <t>- 1.22 acres of cropland and mixed orchard/permaculture space. - concerns of: erosion, low soil organic matter, lack of biodiversity, soil compaction, poor soil structure - conservation practices: cover crop, compost, mulching, field borders, pollinator habitat establishment, strip till, crop rotation, no pesticides or herbicides</t>
  </si>
  <si>
    <t>The project encompasses 3.2 acres of rangeland. Concerns addressed: inadequate feed &amp; forage, organic matter depletion, species &amp; plant composition, erosion &amp; compaction, invasive species &amp; inefficient water use. All five Principles will be implemented by the Practices of prescribed grazing, reseeding, invasive removal, covering bare ground &amp; compost amending.</t>
  </si>
  <si>
    <t>The “Cultivating Cover” project will move animals, nutrients, and water more strategically to reestablish plant cover in exposed soil areas. Nutrient management and weed management will occur in a three-acre ungrazed rangeland and two 1-acre grazed pastures. Temporary fencing and prescribed grazing will be applied in the two grazed pastures.</t>
  </si>
  <si>
    <t>This project includes 9 acres of rangeland used for sheep grazing year round.  This land has experienced overgrazing and drought and has minimal grass coverage. This land will be aerated, fertilized, reseeded, and a rotational grazing practice implemented to aid in regrowth of the forage and improve soil health.</t>
  </si>
  <si>
    <t>This literal soil-building project will occur over 122.6 acres of decades long cropland. It will address erosion of both soil and water, water infiltration, SOM and soil structure. The project will combine a diversity of perennial plants with a living soil leveraged by regenerative grazing principles by mixed animal species.</t>
  </si>
  <si>
    <t>The project includes 27.6 acres of rangeland, cropland, riparian area and pollinator strips. Resource concerns include the enrichment of soil health, reversing erosion, increasing the rate of rainwater absorption, and repopulation of native wildlife and pollinators. 432We aim to adapt to climate change and optimize crop/livestock/honey production and quality.</t>
  </si>
  <si>
    <t>The project seeks to restore and improve 67 acres of rangeland to counteract erosion, improve grasses that will provide grazing and cover for native animals and improve water accesibilty. This will be done by providing soil cover, maximizing biodiversity, and integrating controlled grazing into the land management.</t>
  </si>
  <si>
    <t>Improvement of soil utilizing the suggestions made by USDA NRCS-NM. Enhancing  current minimal soil coverage planting suggested  Grasses supporting livestock and wildlife via rotational foraging.  Improving irrigation supporting healthy soil conditions.  Excavating elm stumps and noxious/invasive trees improving plant diversity. Controlling invasive weeds in Lot 5 fallow soil enhancing biodiversity.</t>
  </si>
  <si>
    <t>Project and land-type--12.6 acres and 4 acres of cropland.  Soil health-related concerns and agricultural/conservation practices--Low soil organic matter, lack of biodiversity, water infiltration/percolation, soil compaction addressed through cover cropping w/5-6 crops--with various root depths/soil benefits, biodiversity with cover-crops, deep rooted crop (deep till radish) for soil compaction--terminated via livestock grazing.</t>
  </si>
  <si>
    <t>The project seeks to repair and develop cropland that has laid fallow. This will be accomplished by minimizing disturbance of the soil, planting multi-species cover crops with inoculant for nitrogen fixing, applying compost and mulch, and integrating cattle with planned grazing followed by rest periods.</t>
  </si>
  <si>
    <t>The amount of land this project will take place on is 1.5 acres. Several large areas include cropland management, subsistence/seed vegetable production. Also through ecological succession we plan to create a food forest, with mostly native plants/trees. Agricultural/conservation practices implemented will be mulching/compost, no till, crop rotation, and pollinator habitat.</t>
  </si>
  <si>
    <t>We farm 19,922 sq. ft. of cropland year-round for seasonal rotation of crops grown in beds using driptape to water using well water mostly, and some municipal. Project goals include addressing soil compaction, water infiltration and percolation and lack of biodiversity using cover crop, mulch and a variety of species.</t>
  </si>
  <si>
    <t>This project aims to restore 1775 acres of degraded public rangeland to healthy, carbon-sequestering native grassland rotationally grazed by native bison. Soil erosion by wind and water will be improved by applying biochar, compost, and mulch, which will maximize soil cover, maximize the presence of living roots, and maximize biodiversity.</t>
  </si>
  <si>
    <t>On just under an acre of land we are building cropland health. The soil health-related resource concerns are lack of biodiversity and soil organic matter, and reduced infiltration. The practices we will implement are planting cover crops, proper grazing of cover crops, establishing pollinator habitat, and organic-based soil amendments.</t>
  </si>
  <si>
    <t>I farm bio-dynamically/regeneratively using raised and framed field beds, growing perennial/annual flowers/herbs, fruits and vegetables.  My concerns are plant productivity, vigor, and health; soil moisture retention; and plant sun/salt tolerance. I will implement soil/water and biology testing, no-tilling, cover-cropping, composting, mulching, mycorrhizal/LAB inoculation, nitrogen supplementation, bio-dynamic preparations, and shade-clothing.</t>
  </si>
  <si>
    <t>Land:  10 acres cropland  Concerns: 1. Increase biodiversity; 2. Improve soil organic matter; 3. Mitigate wind/water erosion; 4. Attract pollinators.  Practices: a) Cover crop; b) Reduced or no-till techniques; c) Organic soil amendments: compost; fertilizer; d) Berms to manage water flow;  e) Pollinator hedgerows.</t>
  </si>
  <si>
    <t>Our project will occur on 0.65 acres of cropland/fields, hoop houses, raised beds, and our orchard.  Our health related concerns are soil quality degradation, decreased water infiltration, and soil erosion. Our agricultural practices will include cover cropping, minimizing soil disturbance on cropland and minimizing external outputs, and maximizing biodiversity.</t>
  </si>
  <si>
    <t>I have 17.86 acres of cropland I am concerned will have Organic matter depletion, Compaction, and Habitat loss in the next few years.  I will use cover crops and compost to increase soil coverage, maintain a living root and minimizing disturbances on the land, improve soil structure, and improve biodiversity.</t>
  </si>
  <si>
    <t>We are applying for this grant to improve our rangeland health.  We are going to use a subsoiler and grass\seeder on our 320 acres during this grant to relieve compaction and reintroduce native seeds to the area.  This will allow the land to absorb moisture and increase overall forage coverage.</t>
  </si>
  <si>
    <t>The project is on four parcels of Plaza del Cerro, totaling 1.4 acres of cropland. It will address soil health concerns of compaction, organic matter depletion, and invasive species. Conservation practices include: mulching; residue/tillage management; beneficial plantings; biomass planting; cover cropping; herbaceous wind barriers; nutrient management; and brush management.</t>
  </si>
  <si>
    <t>The project aims to improve 4 acres of degraded pasture by applying organic material, seeding cover drop with a no-till drill in both Fall and Spring and using hot wire to exclude cattle grazing. We will also use keyline design principles and earthworks to improve infiltration of precipitation.</t>
  </si>
  <si>
    <t>The project will take place on 1.3 acres of cropland and will address soil health concerns of poor soil structure, soil compaction, and erosion through the addition of amendments, increased pollinator and native perennials plants to strengthen the field borders, and additional fencing for rotational grazing.</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</si>
  <si>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</si>
  <si>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Lescombes Family Vineyards will apply a soil health cover crop mixture to a new 19-acre vineyard block, with a mixture of daikon radish and sesame in order to see increased results of those supplements on water retention, biodiversity, and living roots, and reduced nematodes in the soil and root knots.</t>
  </si>
  <si>
    <t>Summary</t>
  </si>
  <si>
    <t>Ciudad Soil and Water Conservation District</t>
  </si>
  <si>
    <t>Taos Soil &amp; Water Conservation District</t>
  </si>
  <si>
    <t>Dona Ana Soil and Water Conservation District</t>
  </si>
  <si>
    <t>Valencia Soil and Water Conservation District</t>
  </si>
  <si>
    <t>Guadalupe Soil &amp; Water Conservation District</t>
  </si>
  <si>
    <t>Carrizozo Soil and Water Conservation District</t>
  </si>
  <si>
    <t>Ciudad</t>
  </si>
  <si>
    <t>Taos Soil and Water Conservation District</t>
  </si>
  <si>
    <t>Colfax Soil and Water Conservation District</t>
  </si>
  <si>
    <t>Carlsbad Soil and Water Conservation District</t>
  </si>
  <si>
    <t>Tierra Y Montes SWCD</t>
  </si>
  <si>
    <t>San Juan Soil &amp; Water Conservation District</t>
  </si>
  <si>
    <t>Border</t>
  </si>
  <si>
    <t>Coronado Soil and Water Conservation District</t>
  </si>
  <si>
    <t>Roosevelt Soil &amp; Water Conservation District</t>
  </si>
  <si>
    <t>Santa Fe-Pojoaque SWCD, a political subdivision of the state of NM, established by the legislature in 1941.</t>
  </si>
  <si>
    <t>Deming</t>
  </si>
  <si>
    <t>Quemado Soil and Water Conservation District</t>
  </si>
  <si>
    <t>Mesa Soil and Water Conservation District</t>
  </si>
  <si>
    <t>Central Tri County SWCD (AKA-Edgewood SWCD)</t>
  </si>
  <si>
    <t>Central Curry Soil &amp; Water Conservation District</t>
  </si>
  <si>
    <t>Colfax Soil &amp; Water Conservation Distrct</t>
  </si>
  <si>
    <t>Northeastern Soil &amp; Water Conservation District</t>
  </si>
  <si>
    <t>Upper Chama Soil and Water Conservation District</t>
  </si>
  <si>
    <t>Otero Soil and Water Conservation District</t>
  </si>
  <si>
    <t>Chaves Soil &amp; Water Conservation District</t>
  </si>
  <si>
    <t>Annual funds are not sufficient to meet cost requirements of sediment removal from the flood control dams that protect the Cliff/Gila communities. Upon receipt of the funds, the board will determine in which dam sediment removal shall occur, based on sediment accumulation, weather conditions, and contractor availability. Once the dam is selected, the solicitation for bids will begin and the number of cubic yards of sediment to be removed will be determined by the bids received. Sediment removal progress will be monitored via weekly aerial survey and compared to contractor dump load accumulations.</t>
  </si>
  <si>
    <t>SW Quay SWCD is excited to partner with many other entities to bring water conservation to our district on a larger scale.  We are seeking this grant to be able to bring funds to our producers for conservation practices, bring educational opportunities to our producers, and create the ability to speak with each producer  1 on 1 about conservation.  We are looking to build on some programs we have in place as well as add new practices.  We are prepared to offer our producers the following through this grant: soil testing, brush control, subsoiling, fertilizing, seeding, and shade-balls.</t>
  </si>
  <si>
    <t>The Socorro SWCD needs to update their long range plan, have an employee become a certified Chief Procurement Officer, learn how to write an Infrastructure Capital Improvement Plan in order to submit requests for capital outlay funding, training for land surveying for irrigation improvement projects for the Socorro SWCD Cost Share Program and conservation planning for landowners in order for them to apply for the Healthy Soils Program.</t>
  </si>
  <si>
    <t>Because of limited capacity, partially due to having no mill levy, Ciudad SWCD has never developed a land use plan for resources within our District. We realize the importance of a land use plan in giving Ciudad SWCD a "seat at the table" for interagency natural resource planning discussions and with capacity building funds from the LOELF we plan to secure the services of an expert consultant to assist us with developing a land use plan. We intend the plan to be finalized within the grant time period (by May 15, 2025).</t>
  </si>
  <si>
    <t>Create a fiscally sustainable NFL Grant Coordinator for the District. This position will Increase capacity, pace, and scale of fuel reduction projects on private lands within the District that will be treated for forest health, soil, water retention, and watershed protection as requested by local residents. The county of Taos has a limited capacity and can only administer one NFL grant per year.  This position will allow for multiple submissions for NFL grants, increasing implementation of NFL grants throughout the county.  Partners include Taos County, U.S. Forest Service, The Bureau of Land Management and the Cimarron District of State Forestry.</t>
  </si>
  <si>
    <t>The project will conduct a landscape-scale thinning initiative in Taos County, NM, addressing extreme stand densities and increased fuel loading. Considering the devastating HPCC fire of 2022, it is essential that fuels be addressed. Taos SWCD collaborates with local communities, neighborhoods, and private landowners to implement forest health projects (thinning, fuel treatment, native grass reseeding). Stakeholders include Taos SWCD, local communities, landowners, and partner organizations. Methods involve collaborative planning, thinning, and post-treatment monitoring. Evaluation assesses fire risk reduction, forest health, and community resilience. This initiative fosters long-term landscape-wide benefits, providing tangible solutions for fire mitigation and ecosystem resilience.</t>
  </si>
  <si>
    <t>To increase awareness about DASWCD's mission and programs, and information about the NMDA Healthy Soils Program, DASWCD will partner with NMSU, DAC, Caballo SWCD, Sunland Park and local producers to create a mix of 8 live and virtual forums. The live forums will be in different areas around the county, bi-monthly.  The webinars will be bi-annually.  These forums will provide information about DASWCD programs and healthy soils.  Through online registration we can capture the contact information of those attendees, and follow-up with a postcard to gather feedback on the content presented and how informative it was for the attendees.</t>
  </si>
  <si>
    <t>New Mexico’s 2022 fires razed some 900 acres of Middle Rio Grande bosque, including 109 acres of VSWCD conservation lands valued by District residents. Confronting a logarithmic increase in natural resource management work since the Big Hole Fire has taxed District capacity.  VSWCD seeks funding to continue to conserve and develop New Mexico’s natural resources and preserve its wildlife following catastrophic wildfire by employing a Conservation Program Assistant to coordinate post-fire recovery and disaster mitigation work.  To demonstrate the effectiveness of this short-term increased capacity, photos and GIS mapping will demonstrate acreage of recovery and mitigation at 3-month intervals.</t>
  </si>
  <si>
    <t>Since 1997, when Valencia SWCD's long-range Conservation Plan was written, the population grew from 65,000 to 89,000.  Land ownership characteristics also changed. To meet the objectives of the District Act, VSWCD must understand the current natural resource concerns of its stakeholders.  VSWCD proposes contracting an expert to write a survey, calculate results, and write a  Conservation Plan informed by survey results.  Surveys primarily will be mailed to interested District residents, as estimated by voters in the 2023 District election.   A self-response survey rate exceeding usual standards and Conservation Plan scoring 80+ percent from the project's Review Panel will demonstrate success.</t>
  </si>
  <si>
    <t>Through this project, the Guadalupe SWCD will improve overall watershed health by increasing sustainability of watershed hydrology, flood mitigation capacity, water quality and quantity , native and wildlife habitat establishment, and reduction of wildfire intensity in underserved communities. Restoration work will consist of removing non-native invasive species of Salt Cedar and Russian Olive in the Pecos River corridor, surrounding cienegas, and continue treating re-sprouts of previously treated areas within Guadalupe County. Additionally, it will mitigate the impact of a predominantly non-native urban forest on the ecosystem and develop urban forest management plans to phase out an invasive-intense urban palette.</t>
  </si>
  <si>
    <t>Develop an Inventory of Water Resources: ○ Compile comprehensive data on water resources within the Upper Tularosa Basin, including aquifer characteristics, water quality parameters, and historical usage patterns. Track Changes and Trends: ○ Monitor and analyze changes and trends in water resources over time to understand variations in aquifer levels, water quality, and usage patterns. Provide Data-Based Decision Support: ○ Empower stakeholders and producers with access to unbiased, science-based information to facilitate informed decision-making regarding water resource management and usage.</t>
  </si>
  <si>
    <t>Ciudad SWCD will implement hazardous fuels reduction cost-share projects along the eastern WUI of the Sandia/Manzano Mountains. Hazardous fuel reduction will take place in Bernalillo County and Southern Sandoval County, per a Cooperator Agreement with Coronado SWCD. Ciudad SWCD will assist private and non-federal public landowners to hire local prequalified contractors to thin trees to densities consistent with the USFS and NMSF prescriptions. Vegetation is overstocked high-density pinon-juniper, with areas of Ponderosa pine. This project will reduce wildfire risk and improve watershed health, ensuring that these socio-economic values are protected and constituents are educated on the importance of forest health.</t>
  </si>
  <si>
    <t>The District will reduce erosion, runoff, and sediment transport originating from within the El Valle Fire burn scar into the Rio de las Trampas and downstream acequias by installing log erosion barriers in strategic locations on private lands within the burned area. The project will also engage local residents and students from Penasco High School in long-term post-fire monitoring to inform long-term post-fire recovery management decisions, such as reseeding, tree replanting and/or noxious weed mitigation. This work will be coordinated with similar efforts on adjacent Forest Service lands that also burned during the 2023 fire.</t>
  </si>
  <si>
    <t>The Colfax SWCD requests a "Boots on the Ground" capacity. A program manager, to engage with NMACD, SWCD, NMDA and other partners in conservation activities occurring on a daily basis within NM. This position will employ an individual to manage conservation efforts in regards to water trust and conservation grants, the healthy soil program (both individual and entity versions), community outreach and education efforts, grants that need to be contracted out and land-scape scale restoration projects. In short, a day to day  face to take action for stakeholders (municipalities, landowners, governmental agencies, corporations) in an effort to grow conservation efforts.</t>
  </si>
  <si>
    <t>Natural resources are the most vital commodity to sustain life. Depletion of these resources would be detrimental. We aspire to cultivate a mindset of conservation of these valuable assets. We attend numerous events across the state promoting conservation. Our goal is to have all of our teaching tools at our fingertips as we travel to these educational opportunities. A mobile classroom will allow that. Our tools will be onsite to adapt and expand on a topic when needed. We use sign in sheets and educational handouts as a way of auditing our connections.</t>
  </si>
  <si>
    <t>A successfully awarded project will assist Tierra Y Montes SWCD in providing educational outreach events utilizing various simulators to educate the public on reducing soil erosion, reducing soil loss and reducing flooding by establishing vegetation on the HPCC burn scar.  The project will also allow TYMSWCD the ability to educate the public about the use of cover crops to address the healthy soils principles and recruit landowners to apply to the Healthy Soils Grant.  Educate and encourage landowners to participate in CoCoRaHS network.  Work with NRCS, Western Mora SWCD, NWS and other partners.</t>
  </si>
  <si>
    <t>Develop a pilot program to address the lack of locally adapted, climate-ready seed for soil conservation and habitat restoration by engaging willing landowners in collection agreements and inventorying existing populations of native species in high demand and low supply. In addition, both Ciudad SWCD and Valencia SWCD will plant a portion of the collected wildland seeds through educational programming at Candelaria Nature Preserve and Whitfield Wildlife Conservation Area and RACA Unit to prevent soil erosion and protect natural resources within their boundaries. Biochar production and goat grazing will further provide educational demonstration of the protection of natural resources.</t>
  </si>
  <si>
    <t>Our Sustainability &amp; Conservation Workshop series will primarily focus on San Juan County community of farmers, ranchers, and backyard gardeners, hosting a series of 10 workshops. Diverse topics to include: Invasive weed/Pest Management, Rainwater Harvesting and Water Conservation, Tree Planting/Care, Cover Crops/Healthy Soils Principles, Xeriscape/Zero-scaping, Sustainable Practices, Watershed, Pollinator Habitat, Composting/Mulching, and then finish the series off with an Open House and Resource Funding Presentation. These topics &amp; presentations in the workshop series will provide information on sustainable conservative farming techniques that participants are able to realistically implement into their own productive systems on their land in this region.</t>
  </si>
  <si>
    <t>BSWCD’s strategy:  implement needed structure and processes to secure consistent funding to enhance existing projects and expand into new conservation practices.  An ICIP readies us for capital outlay.  Increased grant submissions enable contracting applicators for consistent weed management.  Added funds require hours for audit preparation.    Additional education and training for ourselves adds value to our outreach as we share knowledge and resources with district residents.  Increased outreach establishing new partners and growing existing partnerships involves additional staff hours.  Added staff responsibilities contributes to attainable action plans and better project monitoring.  Capacity to cover staff hours directly benefits district residents.</t>
  </si>
  <si>
    <t>Conserve and develop the natural public space along the Rio Grande in Bernalillo by taking specific and measurable steps to preserve wildlife and promote the health, safety and general welfare of the public. This riparian area is ten (10) acres of cottonwood forest, river bank, and underbrush. Noxious weeds and invasive species are present here. This project would provide an opportunity for Coronado Soil and Water District to implement our practices in a centrally-located public place. The Town of Bernalillo owns the land, and will be required to vote to approve the partnership at council meeting. Online outreach is needed.</t>
  </si>
  <si>
    <t>Our project has three parts:  1. Provide support to the development of the Envirothon program in high schools within Taos County. We would like to use project monies to cover competition fees and transportation cost for these students to attend the NM Envirothon state competition in 2025.  2. We would like to utilize grant funds to provide outreach materials to 5th grade students in Taos County during NACD Soil Stewardship Week.  3. Taos SWCD would like to distribute water test kits to local residents as part of the on-going water quality study of the Rio Hondo.</t>
  </si>
  <si>
    <t>Now that the 56th New Mexico Legislature has provided funding, beginning in Fiscal Year 2025, enabling the District to reinstate a rain-enhancement (cloud-seeding) project, seeding will occur within a large “target” area of eastern New Mexico that has been licensed by the New Mexico Interstate Stream Commission.    Well-organized and advertised public meetings are needed at strategic locations in a timely manner, both before cloud seeding commences and after the completion of operations when data are assessed to determine efficacy.</t>
  </si>
  <si>
    <t>This Capacity-Building proposal seeks funding to hire a professional engineering firm to create legally-required emergency action plans (EAPs) for Santa Cruz Dam Sites 4, 5, and 6 and for updating legally-required operations and management (O&amp;M) manuals for 7 flood control dams in Rio Arriba and Santa Fe Counties. Preparation of the EAPs and O&amp;M manuals will follow templates developed by NM Dam Safety Bureau (DSB). Evaluation indicating success will be the sign-offs on the EAPs and O&amp;M manuals by the Emergency Managers of Rio Arriba and Santa Fe Cos., the Chief of the DSB, and the USDA NRCS State engineer.</t>
  </si>
  <si>
    <t>Deming SWCD would like to purchase a rolling rivers trailer to use at local schools, fairs, and other community events.  This proposal will ask for partial funding of the purchase of the trailer.  Deming SWCD has partnered with several local organizations and the high school to assistt in providing oral presentations.  Deming will work with a manufacturing company to construct the trailer, purchase educational materials for the trailer and provide administration and scheduling. Success of the use of the trailer will be evaluated by the number of educational materials distributed during each event.</t>
  </si>
  <si>
    <t>Deming SWCD plans to promote conservation education to the public and youth by demonstrating which plant, shrub, and tree species best in our desert climate.  The Garden will be constructed and labeled to promote knowledge of the plants that thrive in our hot dry environment while using less water than conventional landscaping.</t>
  </si>
  <si>
    <t>The Salado Soil and Water Conservation District intends to hire a contractor to help them gather data on what the resource needs are within the District and potential methods to improve and address those needs.  This information will be provided to the general public for their input and after this information is collated with known data a Long Range Plan or  Land Use Plan will be drafted, depending on what the data determines.  This Plan will be utilized by the District to solicit funds to implement on the ground projects and help with the growth of the District.</t>
  </si>
  <si>
    <t>The Quemado Soil and Water Conservation District intends to hire a contractor to help them gather data on what the resource needs are within the District and potential methods to improve and address those needs.  This information will be provided to the general public for their input and after this information is collated with known data a Long Range Plan or  Land Use Plan will be drafted, depending on what the data determines.  This Plan will be utilized by the District to solicit funds to implement on the ground projects and help with the growth of the District.</t>
  </si>
  <si>
    <t>Colfax SWCD will create a current and long term conservation plan. This conservation plan will be created with conservation input from: individual land owners, municipalities, corporations, USDA (FSA &amp; NRCS), and Colfax SWCD board members. The conservation plan will categorize the needs of the district based upon conservation concerns, types, locations, and the types of funding streams that are available for each concern. In short, what concerns do we have, where are they, and which funding option is available to address each one. The finished plan will be utilized to categorize and plan CSWCD projects based upon available funding opportunities.</t>
  </si>
  <si>
    <t>The Mesa SWCD was formed in the 1930's as a response to the dust bowl of the late 1920's.  The purpose of this long range plan is to guide the district in soliciting grants for soil and water conservation applications and technology development.  The long range plan will address both a local and national concern that people in Harding County know well; the ability of the land to produce livestock.</t>
  </si>
  <si>
    <t>The Central Tri-County Soil and Water Conservation District (SWCD) Conservation Education Outreach Campaign will allow us to promote our new name as well as our conservation projects for landowners, land managers, area youth, organizations, and local government within our boundaries.  Central Tri-County SWCD works closely with New Mexico State Forestry, Natural Resources Conservation Service, New Mexico State Land Office, Santa Fe County Extension Office, Chilili Land Grant, Claunch-Pinto Soil and Water Conservation District, and others. These partnerships will allow us to reach a wide range of landowners, land managers, area youth, organizations, and local government within our district boundaries.</t>
  </si>
  <si>
    <t>The Ute Creek SWCD is submitting a proposal to help with the daunting auditing costs that the district incurs each year.  Each year the district applies for a Water Trust Board grant that puts hundreds of thousands of dollars on the ground in the district.  Obtaining funding for the audit will help to ensure that the work continues in the future years.</t>
  </si>
  <si>
    <t>The Central Tri-County Soil and Water Conservation District (SWCD) Conservation Planning grant will be used to update our existing Land Use Plan.  This will allow us to promote our new name as well as our conservation projects for landowners, land managers, area youth, organizations, and local government within our boundaries.  This Land Use Plan is an executable policy for natural resource management and land use on lands within the district boundaries and thus provides a scientific and culturally sound framework for resource planning objectives.</t>
  </si>
  <si>
    <t>The Central Tri-County SWCD (AKA-Edgewood SWCD) will conduct landscape hazardous fuel reduction projects in the northern portions of the Manzano Mountains and Southern Sandia Mountains where the vegetation is overstocked with high density pinon / juniper and ponderosa pine woodlands. Biomass generated will be provided as firewood for heat. The project will also reduce stand density and ladder fuels reducing wildfire risk and improve watershed health by restoring stand structure back to a more fire adaptive system.  Soil control techniques include lop and scatter and spreading of chipped biomass.</t>
  </si>
  <si>
    <t>Noxious weed management has direct impacts in accomplishing our District Act responsibilities.  This proposal concentrates on these primary objectives:  education to create awareness of a problem, outreach by providing solutions and collaboration to expand this reach.       All problem weed species will be addressed with some specific focus on African Rue.  We will continually educate ourselves and district residents to manage noxious weeds through training to identify, GPS, report weed locations for coordinated mapping, correctly utilize herbicides and appropriate reclamation methods.  Area SWCDs, CWMAs, local entities and government agencies are collaborating with on-the-ground practices for large-scale reclamation.</t>
  </si>
  <si>
    <t>The Conservation Plan is an executable policy for natural resource management and land use on the lands on the two conservation areas owned by the Central Tri-County SWCD (aka-Edgewood SWCD) on South Mountain.    This grant would allow the Central Tri-County Soil and Water Conservation District to hire an ecologist to prepare a new conservation plan for the 2 conservation areas owned on South Mountain.  This grant would provide funding for planning meetings along with the development of a new conservation plan.  Planning meetings will focus on updating the district’s name and the second conservation area purchase on South Mountain.</t>
  </si>
  <si>
    <t>The Central Curry Soil and Water Conservation District (SWCD) is requesting funds to host an Innovative Ag Conference in 2025. The conference will provide continuing education credits and invaluable information to help producers implement and sustain existing agricultural practices and programs, such as rainwater harvesting, healthy soil programs, weed control and management, groundwater conservation, and other techniques and resources available. Partners such as the New Mexico Department of Agriculture (NMDA) and the Natural Resources Conservation Service (NRCS) will also be there to explain what programs they offer. This conference was last held in 2019 and was attended by 250 producers.</t>
  </si>
  <si>
    <t>Sustain Education Programs for our Arbor Day/Children's Tree Program in April; AgExplorer (KKM) in October; County Fair in July; Stewardship week in April/May; Quarterly Newsletter.  Add training to board and community to build capacity and consensus for future conservation planning programs and to continue with our education programs and create more community outreach to landowners and to the public.  Training to continue to attend annual conferences/regional and get the opportunity to attend others if support and resources benefit the district.  Planning to partner with community and other agencies to create more education and training to grow in our County.</t>
  </si>
  <si>
    <t>The Northeastern Soil &amp; Water Conservation District desires a conservation/land use plan that will conserve the natural resources of our district. There is a continuing need to promote public understanding that land and water is the most important resource within NSWCD and as such, it must be used in a sustainable way. At the present time the district has no functioning land use plan so our district desires to develop a plan with a professional to aid the district. NSWCD wishes to work through NMDA to achieve betterment of the district.</t>
  </si>
  <si>
    <t>A collaboration with the KENW Broadcast Center and Roosevelt, Central Curry, and Border Soil &amp; Water Conservation Districts to secure content, produce, record, edit, and air up to 52 two- to five-minute “All About Ag” radio segments to be aired on the KENW Public Radio Network.  The objective is to provide information to residents of New Mexico regarding Soil &amp; Water Conservation District programs and resources and various other facts and information related to agriculture.  The success of the project will be measured by the public interest and feedback from the listeners of the "All About Ag" radio segments.</t>
  </si>
  <si>
    <t>Objectives: The East Rio Arriba SWCD is seeking funding for additional technical service provider to support and execute current and upcoming programs/projects.  Justification: The East Rio Arriba SWCD covers approximately 2-million-acres. The SWCD strives to assist as many landowners as possible with district programs. Additional capacity will help meet the demand. Methods: The technical service provider would provide support to the 3 current SWCD staff members with daily tasks including program and project management and office tasks. Evaluation: The project would be evaluated based on project completions, grant proposal submissions, landowners assisted, acres served, and on-the-ground project completion.</t>
  </si>
  <si>
    <t>Our area of focus is in the Indian Basin area of SE New Mexico. We plan to aerially treat creosote that has encroached into native grasslands. Removal of this invasive species will restore essential habitat for multiple species and enhance water infiltration rates. This project will be in conjunction with an on going partnership with several other districts, Bureau of Land Management, NM State Land Office and National Fish and Wildlife Foundation. Through these partnerships we have treated 63,000+ acres of land over the last several years.</t>
  </si>
  <si>
    <t>1) Restore and build forest resiliency to deal with drought and catastrophic fires as the highest priority with adjacency as a key approach.  The high fuel and drought conditions have posed a health and safety issue for residents within the district and downstream. Hazardous Fuel Reduction will minimize the flooding and erosion impacts during the intense storms, reduce the intensity of wildfire, and reduce the threat of catastrophic wildfires.  2) Implement watershed rehabilitation to provide ecosystem benefits for livestock, wildlife, fisheries, acequias and erosion control.  Taking a holistic approach toward watershed management will improve habitat for all species.</t>
  </si>
  <si>
    <t>Restore and build forest resiliency to deal with drought and catastrophic fires as the highest priority with adjacency as a key approach.  The high fuel and drought conditions have posed a health and safety issue for residents within the district and downstream. Hazardous Fuel Reduction will minimize the flooding and erosion impacts during the intense storms, reduce the intensity of wildfire, and reduce the threat of catastrophic wildfires.  2) Implement watershed rehabilitation to provide ecosystem benefits for livestock, wildlife, fisheries, acequias and erosion control.  Taking a holistic approach toward watershed management will improve habitat for all species.</t>
  </si>
  <si>
    <t>The Pintada Arroyo Watershed encompasses 658,727 acres, extends through Guadalupe, San Miguel, and Torrance counties, and lies within the Pecos River portion of the Great Plains Province. The purpose of the Pintada Arroyo Watershed Sedimentation Project is to minimize the disturbance and damage of sediment movement and flood waters throughout the Pintada watershed through a multi-phased plan, design, and implementation approach. The requested funding from the Land of Enchantment Legacy Grant Fund is to continue the implementation portion of the entire Pintada Project and will contribute to the success of the overall landscape project.</t>
  </si>
  <si>
    <t>The Guadalupe Soil &amp; Water Conservation District will work with landowners to promote and implement mesquite treatment and removal projects throughout the district to improve grazing opportunities, property values, and ease the difficulty of livestock handling. Treatment of individual mesquite plants will consist of the most effective way of treatment, Pronone Power Pellets. A year following pellet treatment, removal of dead standing plants will include mastication utilizing a two-track skid steer with rotary cutter attachment. Once invasive shrub densities are reduced, the District will witness the re-establishment of native grasses and forms that will result in healthier, more productive rangelands.</t>
  </si>
  <si>
    <t>Update our website to engage the next generation of agricultural producers.  Story maps are used to create engaging and interactive narratives that combine maps, multimedia, and text.  Our story map information will be updated to show the success of prior projects.  A contractor will be hired in August of 2024 to produce the new story map pages to show the success of prior and ongoing projects highlighting our partners.  This new page will be available in the fall.  The success of the updated/new story map pages will be measured by an increase in the amount of people accessing the website.</t>
  </si>
  <si>
    <t>The ranchers and farmers living in the Canadian River Watershed that lie within the Ute Creek SWCD suffer from many areas of non point soil erosion.  This grant would provide the funds needed to reach out and inform and educate the producers on how to build affordable structures and increase water filtration to sustain plant and soil growth.  We propose to work with a person/persons with extensive knowledge and experience to conduct a workshop to teach these principles.</t>
  </si>
  <si>
    <t>Ute Creek is seeking to gain input from the producers in our district and to compile a long range plan.  This will be done by holding public input meetings and hiring a contractor to compile the plan for the district.  The producers of the district will then have access to the districts plan.</t>
  </si>
  <si>
    <t>The Socorro Nature area is a 120 acre public recreation site on BLM land in Lemitar, NM.  It is connected to the Rio Grande via a catwalk over the Low Flow Conveyance Channel, and has group shelters, picnic areas, short and long trails for educational activities, hiking, dog walking, and general enjoyment of nature. We have been working on treating noxious species in this area since 2010, removing Salt Cedar, Russian Olive, and Russian Knapweed, which had badly infested the area. With the noxious species mostly controlled, it's now time to restore this gem of the Middle Rio Grande Valley.</t>
  </si>
  <si>
    <t>Otero SWCD will hire a contractor to reach out to producers and land management agencies in our district to review existing proposals for their ability to be used to create new work plans.  The Tularosa Watershed Project focuses on improving the Tularosa Creek.  The Lower Pecos River Watershed Project focus is the Rio Penasco Watershed which begins in Otero County and flows to the Pecos River in Artesia.  Both were studied twenty years ago for restoration projects to increase water quality and quantity and hazardous fuels reduction.  The success will be the development of landscape scale projects for next year.</t>
  </si>
  <si>
    <t>Northeastern SWCD would like to create an ICIP plan to determine what the district might need for future projects and become eligible to pursue capital outlay from the New Mexico Legislature. The project would be to host a workshop and invite other SWCD's and local governments to participate as many small municipalities may not have an ICIP either.</t>
  </si>
  <si>
    <t>Taos SWCD is in need of monies to hire an additional employee to help the District with it's current workload.  Current staff is at capacity and having one more employee would greatly help deliver more conservation resources to more customers and taxpayers as well as assist in the completion of current grant commitments.  Taos SWCD will match approximately 43% of the $20,000 from this grant to be competitive to hire a qualified half-time candidate for approximately 10 months.</t>
  </si>
  <si>
    <t>Objectives: Plan and design for stabilization of dam slopes using a professional assessment of current surface conditions. Hire contract professional services for slope stabilization of the district’s dam sites to increase life span.   The plan will assist the acequia community with invasive species removal.  Justification: The State Engineers Office requires a watershed district maintain and repair damage from rodents, invasive species and erosion.  It will enable the East Rio Arriba Soil and Water Conservation and Upper Rio Grande Watershed Districts to meet their long-range plans and missions.  Methods: Surveys, engineer designs and legalities.   Evaluation: Monitor progress monthly, weather permitting.</t>
  </si>
  <si>
    <t>Ciudad SWCD staff are seeking professional training through the Watershed Management Groups Rainwater Harvesting Design Certification to increase capacity to provide technical assistance to constituents who seek to implement voluntary rainwater harvesting features on their property. Offering this certification to staff would increase the availability of subject matter expertise in support of emerging partnership-based rainwater harvesting installation programs, will bolster engagement with the Residential Rainwater Harvesting Ambassador Program and enhance the effectiveness of a Residential Rainwater Harvesting Installation Program best practices document that will be shared and refined with partners.</t>
  </si>
  <si>
    <t>Chaves SWCD will work with Private land owners in the North West part of our district on Juniper encroachment which entails soil restoration, water conservation and fire mitigation. BLM and NRCS alike have worked with producers in this area to combat the extensive Juniper invasion. With funding put toward the private land owner landscapes, we can accomplish more work in conjunction with other agencies to better the health of the landscape, and do our best to combat wildfire prevention and mitigation. Priority areas will be assigned based off project locations that are already established.</t>
  </si>
  <si>
    <t>UPPER GILA VALLEY ARROYOS WATERSHED DISTRICT (UGVAWD)</t>
  </si>
  <si>
    <t>ap#</t>
  </si>
  <si>
    <t>district</t>
  </si>
  <si>
    <t>summary</t>
  </si>
  <si>
    <t>Doña Ana</t>
  </si>
  <si>
    <t>Lincoln</t>
  </si>
  <si>
    <t>Sandoval</t>
  </si>
  <si>
    <t>Bernalillo</t>
  </si>
  <si>
    <t>title</t>
  </si>
  <si>
    <t>The program will provide funding for soils testing, seed, and limited contract services to producers within the Caballo SWCD Boundaries who participate in the ISC Ground Water Program and those choosing to plant cover crop between planting rotations. Cropland area of the project is approximately 400 acres.</t>
  </si>
  <si>
    <t>Through a district-wide campaign, Santa Fe-Pojoaque SWCD offers access to soil testing, cover crop seed, compost, mulch and biological inoculants. The campaign benefits up to 8 farms or ranches within the district and impacts an estimated total of 20-110 acres of crop-and/or rangeland.</t>
  </si>
  <si>
    <t>The project is expecting to be conducted on 350-500 acres of cropland.  Addressing resource concerns of erosion and poor soil healty, the conservation practice of cover cropping will be used. The project intends to reduce soil erosion, enhance soil fertility, suppress weeds, and promote biological activity in the soil.</t>
  </si>
  <si>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</si>
  <si>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</si>
  <si>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The NSWCD's goal is to provide native cover seeding for 500 acres to prevent blowing dirt and help eradicate blow out areas that need to maintain a living root and keep our soil covered. Areas include; rangeland erosion from extinguished prairie dog towns, removed brush areas, crop corners, and roadsides.</t>
  </si>
  <si>
    <t>ERASWCD will cost-share the purchase of cover-crop, permanent-pasture, and native-grass seeds. Amount of Land: Approximately 250 acres Land-Type: Range-Land, Forest-Land, Orchards, Irrigated-Fields Concerns: Erosion, Compaction, Depleted organic-matter, degradation of soil habitat, aggregate-instability. Practices: keeping soil covered, minimizing soil-disturbance, maximizing biodiversity, maintaining a living-root. The district would require a complete soil-assessment.</t>
  </si>
  <si>
    <t>The Upper Hondo SWCD is collaborating with the landowner to plant a native pollinator garden that will survive on the annual precipitation received in the area.</t>
  </si>
  <si>
    <t>At 2 District community gardens on 0.9 acres of cropland, the project will address erosion from wind and rain, lack of biodiversity, and low soil organic matter with field borders, mulching, and organic-based soil amendments; provide bilingual outreach workshops and soil health field days, with hands-on learning, and soil testing.</t>
  </si>
  <si>
    <t>We are sewing 60 acres mostly in chunks of 2 acres or less with the goal of restoring long fallowed fields. This year we are adding some sagebrush removal so we can get the no till seeder into new spots.</t>
  </si>
  <si>
    <t>Johnson-Su bioreactor compost has improved soil health and increased crop production.  This 4-acre project will increase understanding of how organic matter restores rangeland soil health by reducing erosion and improving the quantity of organic matter in soil, soil biodiversity, water content of soils, and the health of existing plant species.</t>
  </si>
  <si>
    <t>Work will occur on 41 acres, each in a different phase of soil restoration. We will seed a cover crop mix. We will expand from cover crops in two areas. We will demonstrate building healthy soil in drought conditions through no-till seeding, cover cropping, seeding for native pollinators, and mulching.</t>
  </si>
  <si>
    <t>The Taos Soil and Water Conservation District will cover crop 230 acres of cropland and rangeland, most of it irrigated, with diverse annual and perennial species depending on the context of the specific parcels and the land stewards managing them.  Local no till drill operators will plant the seed.</t>
  </si>
  <si>
    <t>This project includes 1411 acres within Chaves SWCD. Funding will be put toward cover crop seed and soil tests/ monitoring. Resource concerns include improving soil quality, biodiversity, and prevention of wind erosion. Implementation of both Annual and Perennial cover crops will be utilized using No-Till Drills, or Conservation Tillage practices.</t>
  </si>
  <si>
    <t>Land: -Cropland 1000 acres  -Rangeland 1000 acres    Concerns: -Cropland- Erosion, Cover, Compaction, Organic Matter, Aggregate Instability. -Rangeland- Decreased Plant Productivity/Health, Insufficient Plant Composition, Water Infiltration   Practices: -Cropland: Cover Crops, Organic-Based Soil Amendments, Reduced Tillage, Deep Tillage, Nutrient Management  -Rangeland: Deep Tillage, Prescribed Grazing, Range Seeding, Nutrient Management, Organic-Based Soil Amendments</t>
  </si>
  <si>
    <t>This project aims to take 1 acre originally in alfalfa, but used as a parking lot for the past 5 years and turn it into a native habitat area. There is a concern with compaction in this area. We will implement cover cropping, perennials, native grasses, and compost.</t>
  </si>
  <si>
    <t>Project will support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Work aligns with Healthy Soil Act principles.</t>
  </si>
  <si>
    <t>The project encompasses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</si>
  <si>
    <t>Caballo SWCD Cover Crop Seed Program Grant</t>
  </si>
  <si>
    <t>Gateway to Soil Health in Santa Fe</t>
  </si>
  <si>
    <t>DASWCD Cover Crop Grant</t>
  </si>
  <si>
    <t>Growing winter cover crops during fallow period for improving soil health and resource use efficiency in winter wheat-based cropping systems.</t>
  </si>
  <si>
    <t>Guadalupe Soil &amp; Water Conservation District Soil &amp; Seed Program</t>
  </si>
  <si>
    <t>Northeastern SWCD Healthy Soil Grant: Seeding for Sight</t>
  </si>
  <si>
    <t>East Rio Arriba SWCD Seed Cost-Share Program</t>
  </si>
  <si>
    <t>Shuler Revegetation</t>
  </si>
  <si>
    <t>Growing Community Gardens:  Soil testing and hands-on learning to grow healthy soils.</t>
  </si>
  <si>
    <t>San Cristobal Cover crop project</t>
  </si>
  <si>
    <t>Organic matter from Johnson-Su bioreactors on rangeland soil in the Pueblo of Laguna</t>
  </si>
  <si>
    <t>Vigil y Romo Soils Restoration Initiative</t>
  </si>
  <si>
    <t>Taos Cover Crop Seeding to Promote Soil Health</t>
  </si>
  <si>
    <t>Chaves SWCD Cover Crop Initiative</t>
  </si>
  <si>
    <t>Southwest Quay SWCD Soil and Range Health Program</t>
  </si>
  <si>
    <t>Native Habitat Parking Lot Rehabilitation Project</t>
  </si>
  <si>
    <t>Continued Restoration Efforts at the Candelaria Nature Preserve in Albuquerque, NM.</t>
  </si>
  <si>
    <t>Living Walkways, No-Till/Conservation Tillage Practices, and Hedgerows for a South Valley Farmer Training Program</t>
  </si>
  <si>
    <t>Caballo Soil and Water Conservation DIstrict</t>
  </si>
  <si>
    <t>Santa Fe Pojoaque Soil and Water Conservation District</t>
  </si>
  <si>
    <t>New Mexico State University Rex E. Kirksey Agricultural Science Center-Tucumcari</t>
  </si>
  <si>
    <t>East Rio Arriba Soil and Water Conservation District</t>
  </si>
  <si>
    <t>Upper Hondo SWCD</t>
  </si>
  <si>
    <t>San Cristobal Ditch Association</t>
  </si>
  <si>
    <t>Vigil y Romo Acequia Association</t>
  </si>
  <si>
    <t>Village of Los Ranchos AgriNature Center</t>
  </si>
  <si>
    <t xml:space="preserve">Vigil y Romo Acequia Association </t>
  </si>
  <si>
    <t xml:space="preserve">San Cristobal Ditch Association </t>
  </si>
  <si>
    <t>Salado Soil and Water Conservation District</t>
  </si>
  <si>
    <t>Socorro Soil &amp; Water Conservation District</t>
  </si>
  <si>
    <t>Sierra Soil and Water Conservation District</t>
  </si>
  <si>
    <t>Deming Soil &amp; Water Conservation District</t>
  </si>
  <si>
    <t>Boy Scouts of America - Philmont Scout Ranch</t>
  </si>
  <si>
    <t>Chaves Soil and Water Conservation District</t>
  </si>
  <si>
    <t>New Mexico Wilderness Alliance (New Mexico Wild)</t>
  </si>
  <si>
    <t>Border Soil &amp; Water Conservation District</t>
  </si>
  <si>
    <t>Hand Treatment, Cut Stump and Chemical Treatment of Siberian Elm, Saltcedar and Musk Thistle will be performed along the Canadian River Watershed partnering with US Forest Service and the Canadian River Riparian Restoration Project. The project is within an area that was previously treated by aerial application of herbicide using a helicopter equipped with GPS applying Amazapere to remove Saltcedar (which is not effective in the treatment of Siberian Elm); this follow up treatment using Cut Stump method and applying Garlon 4 (Triclopyr) to Elm and resprouts of Saltcedar and using Milestone (Amenopyralid) to treat Musk Thistle. The Canadian River Noxious Weed Treatment is a small portion of a larger watershed scale project which includes 8 Soil and Water Conservation Districts working together under a Joint Powers Agreement plus 21 state and federal agencies.</t>
  </si>
  <si>
    <t>This project will be the first on its kind. Salado has no noxious weed mapping of any kind. This project is designed to map all the acres included in the boundaries of the soil and water conservation district. The contractor will contact landowners and explain the project, receive permission to map their land. Mark the noxious weeds, give a summary to the landowner and keep an updated electronic map. The project will be scheduled to begin January with the contractor contacting the landowners for permissions. February thru May will be the actual mapping. June will be the final report and completion of the project.</t>
  </si>
  <si>
    <t>Quemado has no noxious weed mapping of any kind. This project is designed to map all the acres included in the boundaries of the soil and water conservation district. The contractor and the district employee will contact landowners and explain the project. At this time permission to map their land will be acquired. Mark the noxious weeds, give a summary to the landowner and keep an updated electronic map. The project will be scheduled to begin January with the contacting of landowners. February thru May will be the actual mapping. June will be the final report and completion of the project.</t>
  </si>
  <si>
    <t>The Holmes property is on the East Side of the Rio Grande, directly across the river from Socorro, NM.  The property is bordered on the north by NMDGF land, and on the south by BLM (public) land.  This site is a popular place for local residents to sightsee, photograph, hunt, fish and enjoy easy access to the Rio Grande, made possible by the large arroyo running through the middle of it, and, more importantly, Mr. Holmes' desire to keep the land fully accessible.  Although it is his private land, he has allowed NMDGF to install signage, and he even installed a non-locking gate to ease access.  In 2007, the Socorro SWCD, using NMERD funding and state funding, contracted for 20.2 acres of non-native phreatophyte extraction and mulching.  Due to the infestation level, this left little vegetation remaining, save a small grove of old growth Rio Grande Cottonwood.  Following 7,220' of fencing, we planted 100 Rio Grande Cottonwood and Goodding's Black Willow trees, 250 assorted native shrubs, and broadcast 250 pounds of native grass seed.  The poles and shrub planting was aided by a soil salinity survey, helping us target the best spots for revegetation.  Following a wildfire in 2023, the property is now in need of fence repair, noxious species treatment, and further planting.</t>
  </si>
  <si>
    <t>To continue efforts towards restoration of riparian habitat impacted by the June 2017 Tiffany Fire, near San Marcial in Socorro County, Sierra SWCD, NM Ranch Properties, the Save Our Bosque Task Force, and New Mexico State Forestry have been working together to control noxious Saltcedar that became prevalent within the burn scar. Over the years since the fire, Saltcedar has been mechanically treated using grant dollars provided by various agencies including Water Trust Board and NM State Forestry. Mechanical treatment consisted of one of two methods: (1) mowing standing Saltcedar or (2) extracting Saltcedar with an excavator and mulching/spreading slash material. Areas that were mowed resulted in an increased number of resprouts compared to areas that were extracted. However, some locations within the project area could not be reached by any type of machinery due the number of down cottonwood skeletons caused by the fire. We plan to conduct a foliar application of herbicide during late September through early October. The selected contractor, will use an adaptive mixture of ground and aerial drone herbicide application. We would like to see continuous areas where harmful noxious weeds have been removed, allowing more desirable native plants to establish and thrive, thus restoring valuable riparian habitat. Sierra SWCD will host an education and outreach presentation that landowner and agency personnel will be invited to attend where they can see drone herbicide application and discuss the importance of responsibly treating noxious weeds.</t>
  </si>
  <si>
    <t>The management and control of invasive species on Santa Clara Pueblo lands is a deemed priority and the Pueblo has already acquired and spent millions of dollars restoring riparian areas along the Rio Grande and Santa Clara Creek to protect riparian and wetland resources. Control efforts in other locations including agricultural fields along the Rio Grande have made a substantial difference. Although most large invasives have been removed, resprouting continues and the agricultural habitats need routine work to keep up with and improve the progress already made.  For weed management on Santa Clara Pueblo, water stations include large capacity storage, pressurized systems, and underbody sprayers to be used at reducing invasive species spread and would ultimately save land managers hours of time for invasive weed removal. The timeline for our project begins in September of 2024 and will include seasonal weed removal activities 2 to 3 times throughout the fall and winter and early spring months which will conclude prior to June 30th, 2025. The Santa Clara Pueblo Department of Agriculture and Department of Forestry will be completing the field work within the areas of Santa Clara Pueblo.</t>
  </si>
  <si>
    <t>Since 2007 the White Peak Landscape has been a focal area for forest restoration and fuels reduction, managed by the New Mexico State Land Office (NMSLO). Active forest management including forest thinning, prescribed fire, and removal of forest products have been essential to increasing ecosystem resilience to wildfire and reduce detrimental impacts of wildfire to the surrounding communities and watershed. Canada thistle has been persistent in presence and spread despite a robust native vegetation response following forest management activities. These noxious weeds have hindered the recovery of native species. While native vegetation is well adapted to frequent, low intensity fire at the project area, the presence of non-native, noxious plants shifts the competitive balance and creates a more undesirable understory composition following prescribed fires.  NMSLO proposes to integrate yearly surveys and herbicide treatments into forest management activities. Over five years NMSLO will perform an annual pedestrian survey to detect and map occurrences of noxious weeds. Funds made available from this grant will help to provide the first year of treatments and mapping, kicking off a five-year total effort from NMSLO. Herbicide applications would be applied to targeted noxious species, with a focus on Canada thistle (Cirsium arvense), as well as musk thistle (Carduus nutans), Scotch thistle (Onopordum acanthium), and bull thistle (Cirsium vulgare). After a period of five years following effective treatments, management will shift, prioritizing early detection and treatment of subsequent occurrences. Following new forest management treatments,  heightened awareness and survey would take place for that specific treatment unit.</t>
  </si>
  <si>
    <t>Luna County and the Deming Soil and Water Conservation District are concerned with the current infestations of African Rue, Malta Starthistle, Russian Knapweed, and Saltcedar within our county. These noxious and invasive plants reduce the agricultural, economical, and recreational value of the land.   Private landowners, public land users, and local governments and organizations must work together to implement this plan.  In order to achieve our goals, we will be utilizing an experienced contractor to treat these noxious species on public and private land.  Areas of high use will be targeted to reduce the spread of these plants from high volume vehicle and foot traffic.  There will be a strong focus on the treatment of roadways, right of ways, and public areas.  We will be monitoring the acres treated by evaluating current and past treatment areas and identifying areas of infestation that will require future herbicidal applications.  Our goal is to treat the noxious vegetation with herbicides on approximately 350 acres of private and public lands for the period of 9/24 – 11/25.  We will be monitoring these areas for re-infestation and treatment success. Documentation of methods and specific herbicides utilized are required of any contractor or individual who is applying the chemical treatment.  Specific location data (GPS coordinates) will also be required which will enable us to track areas of treatment and possible future reapplication.  Photos of these locations will be taken before and after chemical application to ensure that treatment efforts have been successful.</t>
  </si>
  <si>
    <t>Philmont Scout Ranch has a long-standing history of doing responsible and effective land management which includes extensive work with the Colfax County Soil and Water Conservation District to combat noxious weeds on Philmont Scout Ranch, Vermejo Park Ranch and the Valle Vidal.   Over the past 13 years, Philmont has undertaken significant efforts to inventory and treat noxious weeds, employing extensive chemical, manual and biological control methods. This grant will enable Philmont to further treat acres of noxious weeds which complements previous efforts and ongoing projects. Since 2023, Philmont has initiated restorative thinning plans in two units on the ranch covering a total of 900 acres. Within the Crater Restorative Thinning Unit ground disturbance from machinery has primed the area for higher-than-normal infestation of noxious weeds. Within the treatment unit there is a vast road and trail network along with stream channels that all can act as a mode for seed to rapidly disperse and move into other areas of lesser concern.  As part of a holistic land management approach, this project will address the need for treatment of know species in the unit (musk, bull and scotch thistle) and implement EDRR (hoary cress, yellow toadflax and canada thistle).    The project area covers 420 acres in total which has been under ongoing treatment of noxious weeds for the past three years. Utilizing seasonal staff for herbicide treatments and conducting mechanical removal workdays with volunteer labor. A contract sprayer will be utilized to effectively treat the extensive acreage in this unit.</t>
  </si>
  <si>
    <t>Otero Soil and Water Conservation District has a very active Noxious Weed Management Program.  The only component we do not have the staffing for is the surveying/mapping of populations. We plan to change that by hiring a contractor to map African Rue utilizing a drone.  In September we will do the contracting so that the work can begin immediately while African Rue is active before the fall treatment window.  This will help us pinpoint any satellite locations for treatment.  An ongoing contract with the Bureau of Land Management will cover the cost of treatment in October.  We anticipate a minimum of 7,500 acres to be mapped this fall. African Rue will be dormant in the winter before it reappears in early spring.  Any acres remaining will be mapped in the spring.</t>
  </si>
  <si>
    <t>The focus of this project will focus on mechanical treatment in combination with chemical or herbicide treatments. The target species will be African Rue, Russian Knapweed, Salt Cedar and Scotch Thistle. Mapped African Rue populations have been treated with herbicide treatments and will continue to be treated by herbicides. Russian Knapweed has already been extensively mapped and with locations being numerous, the focus will be on mapping Salt cedar. Scotch Thistle has a concentrated population. The focus will be on preventing the plant from spreading and detecting any other population(s). The key to control of Russian Knapweed is to continuously stress it. Combination treatments of mechanical treatments (mastication), cultural (planting native species), and chemical (herbicide treatment) have been shown to have the best results on this species. Monitoring before and after treatment will determine how effective the treatments have been. Salt Cedar will be a challenge as cut-stump treatment is the preferred method. The preferred method to treat Salt Cedar is a combination treatment of chemical and mechanical treatment. All treatments will be monitored before and after implementation of methods mentioned above. Funding will go towards cut-stump treatment, herbicide application, and planting native species (native grass seed mix).</t>
  </si>
  <si>
    <t>Southeast NM is seeing a large uptick in the spread of African Rue due to the movement of the oilfield industry. Carlsbad SWCD is the lead for the Eddy County Coordinated Weed Management  Group. We work with BLM, Eddy County, City of Carlsbad, Carlsbad Irrigation District, Oil and Gas Industry and numerous other agencies. We will apply herbicide by hand treatment method to African Rue.  Optimal treatment of African Rue is twice a year, in the spring and again in the fall when the plant is blooming.</t>
  </si>
  <si>
    <t>In recent years the Gila National Forest (GNF) has been working with partner groups to complete invasive species surveys of the Wilderness areas it manages. 512 survey miles were completed in the Gila by partner group, Heart of the Gila. This project will use results of these surveys to target noxious weed treatments primarily in the Gila Wilderness. New Mexico Wild staff will be trained in Invasive species identification and physical removal methods. Focus species include Class A (yellow toadflax, camelthorn), Class B (bull thistle, poison hemlock), Class C (Siberian Elm, Eurasian watermilfoil, cheat grass).  Priorities will be identified with the GNF in early Spring, 2025, training begins in April, and five multiday backcountry hitches to conduct treatments will take place subsequently. The team will locate previous, spatially mapped infestations of Class A, B, and C species and complete treatments using established physical removal methods. If new infestations are found, they will be immediately surveyed with the Forest Service TESP-IS mobile application and then removed in an EDRR protocol. New infestations that can’t be immediately treated will be mapped. We will follow removal, EDRR, and survey guidelines laid out by USDA Forest Service-Southwestern region. The project also includes an education component consisting of four projects open to volunteers, who will help remove priority invasives. These projects will include sharing information from NMDA about detecting and treating early infestations of invasive plants, plus information about identifying priority noxious weeds. Post evaluation of treatments will be conducted by the GNF and partners.</t>
  </si>
  <si>
    <t>Our 18-month proposal for Class B species focuses on African Rue, Spiny cockleburs and thistles.  Eighteen months can provide three Rue treatments; it is sprayed when in bloom in spring and fall.  The third treatment can take place September 2025. Objectives and methods include:   1) Land manager permissions are in progress.  Landowner information will be continually updated through Chaves and Roosevelt County Assessors and onX mapping application.  Written agreements, JPAs and MOUs will be offered to land managers.   2) Mapping &amp; Education:  Provide trainings and materials to include, plant identification, detection and reporting of infestations using GPS, onX, Avenza and ArcGIS mapping.  Update existing maps as infestations are located and provide detailed treatment and reclamation data.  Coordinate with Extension Services to offer CEUs and herbicide application trainings.   3) Integrate treatment plans:  Offer treatment cost-shares particularly for initial Rue treatment in September 2024.  Procurement procedures in place by October 2024 to complete RFPs enabling commercial applicator availability.  More applicators are now available in the area and have expressed interest in BSWCD’s Noxious Weed Program. 5) Establish reclamation plans:  Continuously monitor treated areas for timely reclamation practices. Offer cost-sharing for native seed, appropriate soil preparation materials like fertilizer and compost materials.  Documentation, photos, data sharing and on-site visits will be ongoing. 6) Strengthen partnerships:  Mapping, data sharing and treatments require statewide collaboration with agencies, SWCDs and CWMAs.  Our ultimate objective of landscape restoration naturally encourages teamwork.</t>
  </si>
  <si>
    <t>Taos Land Trust owns and maintains for public use a 20 acre park in Taos, adjacent to a 20 acre Taos municipal open space. We are active parciantes on the Vigil y Romo Acequia, which includes the Town of Taos and adjacent property owners of 5 additional acres in the project area. We will map, immediately address, and treat Class A, Class B, and Class C species that are prevalent on our property and adjacent sites for a total project area of 45 acres. We have begun mapping for Class A, Class B , and Class C species with a seasonal youth crew, and will augment that with mapping using staff time and GPS. For each species, we will identify two 30m X 30m plots with 3m X 3m subplots to monitor pre-and-post treatment inventory. Treatment methods include physical, mechanical, cultural, fire with individual blow torch applications, and chemical with high strength vinegar application. Commercial pesticides will not be used because we will be treating in an 8 acre wetlands area and 20 acres of the site is under a conservation easement. We will host public workshops to share our treatment results. For Siberian elm and Russian olive trees &gt;10 inches, we will mill suitable material for use on the property, as a means to demonstrate possible commercial and artisanal uses for these woods. Work will take place between September 2024 and June 2025. Partners include the Town of Taos, Taos Land Trust, and the Vigil y Romo Acequia commission.</t>
  </si>
  <si>
    <t>District Opportunities Grant</t>
  </si>
  <si>
    <t>Address</t>
  </si>
  <si>
    <t>address</t>
  </si>
  <si>
    <t>411 Chicosa Street Roy, NM 87743</t>
  </si>
  <si>
    <t>7714 HWY 60 Datil NM 87821</t>
  </si>
  <si>
    <t>17 4th ST Quemado NM 87829</t>
  </si>
  <si>
    <t>103 Francisco de Avondo, Socorro NM  87801</t>
  </si>
  <si>
    <t>2101 S Broadway St Truth or Consequences, NM 87901</t>
  </si>
  <si>
    <t>578 Kee Street Espanola, NM 87532</t>
  </si>
  <si>
    <t>245 Park Ave Ste 206 Raton New Mexico, 87740</t>
  </si>
  <si>
    <t>405 E Florida St Deming, NM 88030</t>
  </si>
  <si>
    <t>17 Deer Run Road Cimarron, NM  87714</t>
  </si>
  <si>
    <t>3501 Mesa Village Drive, Alamogordo, NM  88310</t>
  </si>
  <si>
    <t>129 E 3rd Street, Roswell NM 88201</t>
  </si>
  <si>
    <t>3219 S Canal St Carlsbad NM 88220</t>
  </si>
  <si>
    <t>6000 Uptown Blvd NE, Ste. 350 Albuquerque, NM 87110</t>
  </si>
  <si>
    <t>704 State St. Elida, NM  88116</t>
  </si>
  <si>
    <t>410 La Posta Road Taos, NM 87571</t>
  </si>
  <si>
    <t>lat</t>
  </si>
  <si>
    <t>long</t>
  </si>
  <si>
    <t>-103.49537</t>
  </si>
  <si>
    <t>-106.89432</t>
  </si>
  <si>
    <t>-106.58748</t>
  </si>
  <si>
    <t>-105.6029</t>
  </si>
  <si>
    <t>-106.78477</t>
  </si>
  <si>
    <t>-106.7361</t>
  </si>
  <si>
    <t>-104.68063</t>
  </si>
  <si>
    <t>-105.87405</t>
  </si>
  <si>
    <t>-105.87569</t>
  </si>
  <si>
    <t>-105.60016</t>
  </si>
  <si>
    <t>-104.44058</t>
  </si>
  <si>
    <t>-104.21507</t>
  </si>
  <si>
    <t>-105.22379</t>
  </si>
  <si>
    <t>-108.02034</t>
  </si>
  <si>
    <t>-103.65618</t>
  </si>
  <si>
    <t>-106.57387</t>
  </si>
  <si>
    <t>-103.32016</t>
  </si>
  <si>
    <t>-106.01532</t>
  </si>
  <si>
    <t>-107.75269</t>
  </si>
  <si>
    <t>-107.84518</t>
  </si>
  <si>
    <t>-104.19614</t>
  </si>
  <si>
    <t>-106.08417</t>
  </si>
  <si>
    <t>-106.06568</t>
  </si>
  <si>
    <t>-103.19332</t>
  </si>
  <si>
    <t>-103.18372</t>
  </si>
  <si>
    <t>-106.13849</t>
  </si>
  <si>
    <t>-106.5611</t>
  </si>
  <si>
    <t>-105.97429</t>
  </si>
  <si>
    <t>-104.52126</t>
  </si>
  <si>
    <t>34.44657</t>
  </si>
  <si>
    <t>34.07143</t>
  </si>
  <si>
    <t>35.16665</t>
  </si>
  <si>
    <t>36.37513</t>
  </si>
  <si>
    <t>32.28589</t>
  </si>
  <si>
    <t>34.66746</t>
  </si>
  <si>
    <t>34.93843</t>
  </si>
  <si>
    <t>33.64339</t>
  </si>
  <si>
    <t>33.64216</t>
  </si>
  <si>
    <t>36.3759</t>
  </si>
  <si>
    <t>36.90205</t>
  </si>
  <si>
    <t>32.38716</t>
  </si>
  <si>
    <t>35.61272</t>
  </si>
  <si>
    <t>36.83568</t>
  </si>
  <si>
    <t>33.94806</t>
  </si>
  <si>
    <t>35.25602</t>
  </si>
  <si>
    <t>34.21068</t>
  </si>
  <si>
    <t>35.63236</t>
  </si>
  <si>
    <t>32.2543</t>
  </si>
  <si>
    <t>34.14598</t>
  </si>
  <si>
    <t>35.94495</t>
  </si>
  <si>
    <t>35.01705</t>
  </si>
  <si>
    <t>35.01046</t>
  </si>
  <si>
    <t>34.42331</t>
  </si>
  <si>
    <t>36.45273</t>
  </si>
  <si>
    <t>36.09778</t>
  </si>
  <si>
    <t>36.71771</t>
  </si>
  <si>
    <t>32.93415</t>
  </si>
  <si>
    <t>33.39554</t>
  </si>
  <si>
    <t>-108.24225</t>
  </si>
  <si>
    <t>32.79207</t>
  </si>
  <si>
    <t>-106.0248</t>
  </si>
  <si>
    <t>-103.69267</t>
  </si>
  <si>
    <t>-105.43937</t>
  </si>
  <si>
    <t>-106.54203</t>
  </si>
  <si>
    <t>-105.64333</t>
  </si>
  <si>
    <t>-105.58802</t>
  </si>
  <si>
    <t>-106.66183</t>
  </si>
  <si>
    <t>-106.69604</t>
  </si>
  <si>
    <t>35.64567</t>
  </si>
  <si>
    <t>35.19457</t>
  </si>
  <si>
    <t>33.52665</t>
  </si>
  <si>
    <t>34.80481</t>
  </si>
  <si>
    <t>36.59524</t>
  </si>
  <si>
    <t>36.3992</t>
  </si>
  <si>
    <t>35.14718</t>
  </si>
  <si>
    <t>34.99103</t>
  </si>
  <si>
    <t>Caballo SWCD boundaries within southern Sierra County to middle Dona Ana County</t>
  </si>
  <si>
    <t>Las Cruces</t>
  </si>
  <si>
    <t>The project site wi l encompass the entire Guadalupe Soil &amp; Water  Conservation District. The map of district boundaries is included in this  application.</t>
  </si>
  <si>
    <t>Site No. 1, Montaño Rangeland (Sandoval County):  35.254541°, -107.032403°    Site No. 2, Sedillo Rangeland (Valencia County):  34.809648°,-107.026430°</t>
  </si>
  <si>
    <t>33*25'26"N 104*29'36"W - 33*18'59"N 104*37'48"W - 33*20'27"N 104*35'46"W - 33*36'49"N 104*32'00"W - 33*34'58"N 104*31'06"W - 33*20'10"N 104*27'35"W - 33*22'07"N 104*33'34"W - 33*23'03"N 104*33'44"W - 33*41'34"N 104*19'26"W - 33*40'29"N 104*19'52"W - 33*22'19"N 104*26'05"W - 33*22'58"N 104*28'26"W</t>
  </si>
  <si>
    <t>35° 7'53.12"N, 106°40'41.28"W (vertex of fields 2B, 2C, and 2D; see star symbol in attached map document CNP-Map-HSP25.pdf)</t>
  </si>
  <si>
    <t>address_mix</t>
  </si>
  <si>
    <t>916 Camino del medio, Taos NM 878571</t>
  </si>
  <si>
    <t>82 Sile Rd, Pena Blanca, NM 87041</t>
  </si>
  <si>
    <t>1206 Greenwood Lane, Alamogordo, New Mexico 88310</t>
  </si>
  <si>
    <t>1209 County Rd. 41, Velarde, NM 87582</t>
  </si>
  <si>
    <t>179 Road 3050 Aztec, NM 87410</t>
  </si>
  <si>
    <t>17 Acqquea Road Pean Blanca, NM</t>
  </si>
  <si>
    <t>37 Foothills Drive  Alamogordo, NM 88310</t>
  </si>
  <si>
    <t>1601 County Road 19 Crownpoint, NM 87313</t>
  </si>
  <si>
    <t>23 Coyote Canyon Road, Tularosa NM 88352</t>
  </si>
  <si>
    <t>4239 North Roosevelt rd 15  Melrose NM 88124</t>
  </si>
  <si>
    <t>6 County Line Rd</t>
  </si>
  <si>
    <t>8606 PASEO ALEGRE RD SW Albuquerque, NM 87105</t>
  </si>
  <si>
    <t>279 cerro montoso</t>
  </si>
  <si>
    <t>182 Kingsnake Rd, Carlsbad, NM 88220</t>
  </si>
  <si>
    <t>17 Acequia Road Pena Blanca, NM 87041</t>
  </si>
  <si>
    <t>279 cerro montoso  87577  Tres piedras Nm</t>
  </si>
  <si>
    <t>26 Community Road, Polvadera, New Mexico.6</t>
  </si>
  <si>
    <t>96 Polvadera Rd Polvadera Nm 87828</t>
  </si>
  <si>
    <t>805 Riverside Dr SW Albuquerque, NM 87105</t>
  </si>
  <si>
    <t>89 Padilla Road</t>
  </si>
  <si>
    <t>78 Road 3235, Aztec NM 87410</t>
  </si>
  <si>
    <t>822 CR 3000 Aztec, NM 87410</t>
  </si>
  <si>
    <t>301 Thornton Ranch Road, Lamy, NM 87540</t>
  </si>
  <si>
    <t>1817 Bramah Rd.  Cuervo, NM 88417</t>
  </si>
  <si>
    <t>cr 155 dr1621 House 4, Abiquiu New Mexico 87505</t>
  </si>
  <si>
    <t>NE !4 Section 22, NW 1/4 Section 23, E 1/2 Section 27 - T3N-R31E</t>
  </si>
  <si>
    <t>88 Apache Ridge Road Santa Fe, NM 87505</t>
  </si>
  <si>
    <t>148 Camino de los Ranchos, Chimayo NM 87522</t>
  </si>
  <si>
    <t>6901 San Antonio Dr NE, 87109, Albuquerque</t>
  </si>
  <si>
    <t>6500 Coors Blvd. NW, ABQ, NM, 87120</t>
  </si>
  <si>
    <t>1240 Desert Aire Chaparral ,NM 88081</t>
  </si>
  <si>
    <t>10308 Manzanillo Ave NE, Albuquerque, NM 87111</t>
  </si>
  <si>
    <t>2616 Pajarito Rd SW, Albuquerque, NM 87105</t>
  </si>
  <si>
    <t>5500 Escondida Lane NW</t>
  </si>
  <si>
    <t>2201 W. Blanco Blvd. Bloomfield, NM 87413</t>
  </si>
  <si>
    <t>3483 Highway 64  Waterflow N.M.</t>
  </si>
  <si>
    <t>3130 CR19  Melrose NM 88124</t>
  </si>
  <si>
    <t>1098 CR AB Melrose NM 88124</t>
  </si>
  <si>
    <t>1304 Curry Road Ab Melrose NM 88124</t>
  </si>
  <si>
    <t>3459 CR15 Melrose NM 88124</t>
  </si>
  <si>
    <t>1300 SR 268  Melrose NM 88124</t>
  </si>
  <si>
    <t>8933 Guadalupe Trl NW Albuquerque NM 87114</t>
  </si>
  <si>
    <t>740 Cerrillos Road, Santa Fe, NM, 87505</t>
  </si>
  <si>
    <t>25 Wildlife Trail Edgewood, NM 87015</t>
  </si>
  <si>
    <t>1081 CR 42 Broadview, NM 88112</t>
  </si>
  <si>
    <t>650 CR F Clovis, NM 88101</t>
  </si>
  <si>
    <t>776 HWY 170 Farmington, NM 87401</t>
  </si>
  <si>
    <t>779 HWY 170 Farmington, NM 87401</t>
  </si>
  <si>
    <t>95 Road 2755, Aztec, NM 87410</t>
  </si>
  <si>
    <t>67 Square Deal Road (12.6 acres) and 52 Square Deal Road (4 acres), Belen, NM  87002</t>
  </si>
  <si>
    <t>804 HWY 170 Farmington, NM 87401</t>
  </si>
  <si>
    <t>2708 Rosendo Garcia RD SW Albuquerque, NM 87105</t>
  </si>
  <si>
    <t>803 La Vega Dr SW Albuquerque, NM 87105</t>
  </si>
  <si>
    <t>270 Rincon Road, Corrales</t>
  </si>
  <si>
    <t>141 County Road 40  Alcalde, NM  87511</t>
  </si>
  <si>
    <t>"Wilderwood Farm," Pueblitos Road, Belen, NM 87002</t>
  </si>
  <si>
    <t>Hope Garden 1130 E. Hasler Valley Rd Gallup NM 87301</t>
  </si>
  <si>
    <t>8151 S Main, Mesilla Park, NM 88047</t>
  </si>
  <si>
    <t>3551 CR14 Melrose NM 88124</t>
  </si>
  <si>
    <t>29 San Buena Ventura Chimayó, NM 87522</t>
  </si>
  <si>
    <t>2127 Lakeview Rd SW Albuquerque NM 87105</t>
  </si>
  <si>
    <t>1368 State Highway 94, Mora, NM 87732</t>
  </si>
  <si>
    <t>229 Hwy 113, Hachita, NM</t>
  </si>
  <si>
    <t>36°10'14.5"N 105°01'57.9"W</t>
  </si>
  <si>
    <t>Orchard 1 physical address is 10600 Highway 187, Garfield NM. Orchard 2 Coordinates are Section-31 Township-17S Range-04W</t>
  </si>
  <si>
    <t>Section 36 - T2S - R33E</t>
  </si>
  <si>
    <t>36.844401,-108.760815 Cudeii, Shiprock, NM 87420</t>
  </si>
  <si>
    <t>SE 1/4 Section 29, E 1/2 Section 31, NE 1/4 &amp; NW 1/4 Section 32 - T4N - R33E</t>
  </si>
  <si>
    <t>Township 16N Range 08E, Section 36; 16N 09E 31; 6N 09E 32.</t>
  </si>
  <si>
    <t>36.596045, -106.473039</t>
  </si>
  <si>
    <t>changed</t>
  </si>
  <si>
    <t>yes</t>
  </si>
  <si>
    <t>Lincoln, Chaves</t>
  </si>
  <si>
    <t>3219 S Canal St., Carlsbad NM 88220</t>
  </si>
  <si>
    <t>245 Park Ave Ste. 206 Raton, NM 87740</t>
  </si>
  <si>
    <t>103 Francisco de Avondo Socorro, NM  87801</t>
  </si>
  <si>
    <t>Las Cruces, NM 88005</t>
  </si>
  <si>
    <t>3483 Highway 64  Waterflow, NM</t>
  </si>
  <si>
    <t>67 Square Deal Road, Belen, NM  87002</t>
  </si>
  <si>
    <t>1300 SR 268  Melrose, NM 88124</t>
  </si>
  <si>
    <t>3459 CR15 Melrose, NM 88124</t>
  </si>
  <si>
    <t>3551 CR14 Melrose, NM 88124</t>
  </si>
  <si>
    <t>Hope Garden 1130 E. Hasler Valley Rd Gallup, NM 87301</t>
  </si>
  <si>
    <t>96 Polvadera Rd Polvadera, NM 87828</t>
  </si>
  <si>
    <t>1817 Bramah Rd. Cuervo, NM 88417</t>
  </si>
  <si>
    <t>3130 CR19  Melrose, NM 88124</t>
  </si>
  <si>
    <t>Doña Ana, NM</t>
  </si>
  <si>
    <t>Bernalillo, NM</t>
  </si>
  <si>
    <t>Chaves County, NM</t>
  </si>
  <si>
    <t>Sandoval, NM</t>
  </si>
  <si>
    <t>Guadalupe County, NM</t>
  </si>
  <si>
    <t>Curry County, NM</t>
  </si>
  <si>
    <t>Rio Arriba County, NM</t>
  </si>
  <si>
    <t>578 Kee St Española, NM 87532</t>
  </si>
  <si>
    <t>Latitude</t>
  </si>
  <si>
    <t>Longitude</t>
  </si>
  <si>
    <t>Notes</t>
  </si>
  <si>
    <t>704 State St, Elida, NM 88116</t>
  </si>
  <si>
    <t>Elida town center</t>
  </si>
  <si>
    <t>17 Deer Run Road, Cimarron, NM 87714</t>
  </si>
  <si>
    <t>Cimarron area</t>
  </si>
  <si>
    <t>3219 S Canal St, Carlsbad, NM 88220</t>
  </si>
  <si>
    <t>Carlsbad address</t>
  </si>
  <si>
    <t>129 E 3rd Street, Roswell, NM 88201</t>
  </si>
  <si>
    <t>Roswell downtown</t>
  </si>
  <si>
    <t>245 Park Ave Ste 206, Raton, NM 87740</t>
  </si>
  <si>
    <t>Office space, Raton</t>
  </si>
  <si>
    <t>405 E Florida St, Deming, NM 88030</t>
  </si>
  <si>
    <t>Deming center</t>
  </si>
  <si>
    <t>6000 Uptown Blvd NE Ste 350, Albuquerque, NM 87110</t>
  </si>
  <si>
    <t>Uptown Albuquerque</t>
  </si>
  <si>
    <t>578 Kee St, Española, NM 87532</t>
  </si>
  <si>
    <t>Española street</t>
  </si>
  <si>
    <t>2101 S Broadway St, Truth or Consequences, NM 87901</t>
  </si>
  <si>
    <t>Truth or Consequences</t>
  </si>
  <si>
    <t>103 Francisco de Avondo, Socorro, NM 87801</t>
  </si>
  <si>
    <t>Socorro city center</t>
  </si>
  <si>
    <t>410 La Posta Road, Taos, NM 87571</t>
  </si>
  <si>
    <t>Taos area</t>
  </si>
  <si>
    <t>411 Chicosa Street, Roy, NM 87743</t>
  </si>
  <si>
    <t>Roy center</t>
  </si>
  <si>
    <t>Community center</t>
  </si>
  <si>
    <t>County seat (Roswell)</t>
  </si>
  <si>
    <t>Town near Albuquerque</t>
  </si>
  <si>
    <t>Las Cruces center</t>
  </si>
  <si>
    <t>County centroid</t>
  </si>
  <si>
    <t>Sandoval County, NM</t>
  </si>
  <si>
    <t>3483 Highway 64, Waterflow, NM</t>
  </si>
  <si>
    <t>Hwy 64 rural point</t>
  </si>
  <si>
    <t>776 HWY 170, Farmington, NM 87401</t>
  </si>
  <si>
    <t>Farmington Hwy intersection</t>
  </si>
  <si>
    <t>67 Square Deal Road, Belen, NM 87002</t>
  </si>
  <si>
    <t>Belen road</t>
  </si>
  <si>
    <t>1300 SR 268, Melrose, NM 88124</t>
  </si>
  <si>
    <t>State Rd in Melrose</t>
  </si>
  <si>
    <t>3459 CR 15, Melrose, NM 88124</t>
  </si>
  <si>
    <t>County road in Melrose</t>
  </si>
  <si>
    <t>3551 CR 14, Melrose, NM 88124</t>
  </si>
  <si>
    <t>Hope Garden, 1130 E Hasler Valley Rd, Gallup, NM 87301</t>
  </si>
  <si>
    <t>Gallup neighborhood</t>
  </si>
  <si>
    <t>96 Polvadera Rd, Polvadera, NM 87828</t>
  </si>
  <si>
    <t>Polvadera location</t>
  </si>
  <si>
    <t>1817 Bramah Rd, Cuervo, NM 88417</t>
  </si>
  <si>
    <t>Cuervo area</t>
  </si>
  <si>
    <t>29 San Buena Ventura, Chimayó, NM 87522</t>
  </si>
  <si>
    <t>Chimayó street</t>
  </si>
  <si>
    <t>SW Albuquerque</t>
  </si>
  <si>
    <t>804 HWY 170, Farmington, NM 87401</t>
  </si>
  <si>
    <t>3130 CR 19, Melrose, NM 88124</t>
  </si>
  <si>
    <t>Melrose county road</t>
  </si>
  <si>
    <t>Hachita rural</t>
  </si>
  <si>
    <t>NE Albuquerque</t>
  </si>
  <si>
    <t>805 Riverside Dr SW, Albuquerque, NM 87105</t>
  </si>
  <si>
    <t>779 HWY 170, Farmington, NM 87401</t>
  </si>
  <si>
    <t>1081 CR 42, Broadview, NM 88112</t>
  </si>
  <si>
    <t>Broadview county road</t>
  </si>
  <si>
    <t>2201 W Blanco Blvd, Bloomfield, NM 87413</t>
  </si>
  <si>
    <t>Bloomfield center</t>
  </si>
  <si>
    <t>141 County Rd 40, Alcalde, NM 87511</t>
  </si>
  <si>
    <t>Alcalde road</t>
  </si>
  <si>
    <t>26 Community Road, Polvadera, NM 87828</t>
  </si>
  <si>
    <t>Polvadera rural</t>
  </si>
  <si>
    <t>Carlsbad road</t>
  </si>
  <si>
    <t>Mora Hwy 94</t>
  </si>
  <si>
    <t>78 Road 3235, Aztec, NM 87410</t>
  </si>
  <si>
    <t>Aztec rural</t>
  </si>
  <si>
    <t>803 La Vega Dr SW, Albuquerque, NM 87105</t>
  </si>
  <si>
    <t>SW Albuquerque residential</t>
  </si>
  <si>
    <t>2127 Lakeview Rd SW, Albuquerque, NM 87105</t>
  </si>
  <si>
    <t>5500 Escondida Lane NW, Albuquerque, NM</t>
  </si>
  <si>
    <t>NW Albuquerque street</t>
  </si>
  <si>
    <t>8933 Guadalupe Trl NW, Albuquerque, NM 87114</t>
  </si>
  <si>
    <t>NW Albuquerque trail</t>
  </si>
  <si>
    <t>740 Cerrillos Road, Santa Fe, NM 87505</t>
  </si>
  <si>
    <t>Santa Fe major road</t>
  </si>
  <si>
    <t>6500 Coors Blvd NW, Albuquerque, NM 87120</t>
  </si>
  <si>
    <t>NW Albuquerque commercial</t>
  </si>
  <si>
    <t>1098 CR AB, Melrose, NM 88124</t>
  </si>
  <si>
    <t>CR 155 Dr 1621 House 4, Abiquiu, NM 87505</t>
  </si>
  <si>
    <t>Abiquiu rural</t>
  </si>
  <si>
    <t>148 Camino de los Ranchos, Chimayó, NM 87522</t>
  </si>
  <si>
    <t>270 Rincon Road, Corrales, NM</t>
  </si>
  <si>
    <t>Corrales road</t>
  </si>
  <si>
    <t>650 CR F, Clovis, NM 88101</t>
  </si>
  <si>
    <t>Clovis rural county road</t>
  </si>
  <si>
    <t>ID</t>
  </si>
  <si>
    <t>Actual location of Dam</t>
  </si>
  <si>
    <t>Moved to actual location</t>
  </si>
  <si>
    <t>Arbitrary center in NW of District</t>
  </si>
  <si>
    <t>Adjusted to District Address</t>
  </si>
  <si>
    <t>Acnotes</t>
  </si>
  <si>
    <t>corrected_lat</t>
  </si>
  <si>
    <t>corrected_long</t>
  </si>
  <si>
    <t>google says County Road 317 Tierra Amarilla, NM, 87575</t>
  </si>
  <si>
    <t>pulled from app.</t>
  </si>
  <si>
    <t>district address</t>
  </si>
  <si>
    <t>moved to project site</t>
  </si>
  <si>
    <t>picked random project location out of list</t>
  </si>
  <si>
    <r>
      <t>Chimay</t>
    </r>
    <r>
      <rPr>
        <sz val="12"/>
        <color theme="1"/>
        <rFont val="Calibri"/>
        <family val="2"/>
      </rPr>
      <t>ó</t>
    </r>
    <r>
      <rPr>
        <sz val="12"/>
        <color theme="1"/>
        <rFont val="Calibri"/>
        <family val="2"/>
        <scheme val="minor"/>
      </rPr>
      <t xml:space="preserve"> Cultural Preservation Association</t>
    </r>
  </si>
  <si>
    <t>Armendariz Cattle Co. - Carlos Armendariz</t>
  </si>
  <si>
    <t>Ledoux Grange, LLC - Kristin Swoszowski-Tran</t>
  </si>
  <si>
    <t>Habitat Farms Collective, LLC - Peter Callen</t>
  </si>
  <si>
    <t>Hearts Abloom - Shelley Winship</t>
  </si>
  <si>
    <t>Barnhouse Farms - Toby &amp; Kimberly Bostwick</t>
  </si>
  <si>
    <t>Railyard Park Conservancy - Peggyjoy Hodgen</t>
  </si>
  <si>
    <t>The Community Pantry - Brent Crowe</t>
  </si>
  <si>
    <t>Doña Ana SWCD</t>
  </si>
  <si>
    <t>DOG-FY25-002</t>
  </si>
  <si>
    <t>DOG-FY25-006</t>
  </si>
  <si>
    <t>DOG-FY25-029</t>
  </si>
  <si>
    <t>DOG-FY25-036</t>
  </si>
  <si>
    <t>DOG-FY25-037</t>
  </si>
  <si>
    <t>DOG-FY25-015</t>
  </si>
  <si>
    <t>DOG-FY25-031</t>
  </si>
  <si>
    <t>DOG-FY25-032</t>
  </si>
  <si>
    <t>DOG-FY25-033</t>
  </si>
  <si>
    <t>DOG-FY25-025</t>
  </si>
  <si>
    <t>DOG-FY25-027</t>
  </si>
  <si>
    <t>DOG-FY25-028</t>
  </si>
  <si>
    <t>DOG-FY25-017</t>
  </si>
  <si>
    <t>DOG-FY25-018</t>
  </si>
  <si>
    <t>HSPIA-FY25-060</t>
  </si>
  <si>
    <t>HSPIA-FY25-061</t>
  </si>
  <si>
    <t>HSPIA-FY25-062</t>
  </si>
  <si>
    <t>HSPIA-FY25-064</t>
  </si>
  <si>
    <t>HSPIA-FY25-065</t>
  </si>
  <si>
    <t>HSPIA-FY25-068</t>
  </si>
  <si>
    <t>HSPIA-FY25-005</t>
  </si>
  <si>
    <t>Entity</t>
  </si>
  <si>
    <t>Conservation District</t>
  </si>
  <si>
    <t>Pueblo, Tribe, or Nation</t>
  </si>
  <si>
    <t>University or College</t>
  </si>
  <si>
    <t>Community Irrigation Organizations</t>
  </si>
  <si>
    <t>Local Producers and Organizations</t>
  </si>
  <si>
    <t>Nonprofit</t>
  </si>
  <si>
    <t>Nonprofit Land Stewards</t>
  </si>
  <si>
    <t>Ent_Type</t>
  </si>
  <si>
    <t>Funding</t>
  </si>
  <si>
    <t>010</t>
  </si>
  <si>
    <t>008</t>
  </si>
  <si>
    <t>014</t>
  </si>
  <si>
    <t>002</t>
  </si>
  <si>
    <t>006</t>
  </si>
  <si>
    <t>022</t>
  </si>
  <si>
    <t>023</t>
  </si>
  <si>
    <t>041</t>
  </si>
  <si>
    <t>007</t>
  </si>
  <si>
    <t>029</t>
  </si>
  <si>
    <t>020</t>
  </si>
  <si>
    <t>036</t>
  </si>
  <si>
    <t>037</t>
  </si>
  <si>
    <t>009</t>
  </si>
  <si>
    <t>003</t>
  </si>
  <si>
    <t>013</t>
  </si>
  <si>
    <t>012</t>
  </si>
  <si>
    <t>040</t>
  </si>
  <si>
    <t>026</t>
  </si>
  <si>
    <t>004</t>
  </si>
  <si>
    <t>011</t>
  </si>
  <si>
    <t>015</t>
  </si>
  <si>
    <t>031</t>
  </si>
  <si>
    <t>032</t>
  </si>
  <si>
    <t>033</t>
  </si>
  <si>
    <t>025</t>
  </si>
  <si>
    <t>001</t>
  </si>
  <si>
    <t>027</t>
  </si>
  <si>
    <t>028</t>
  </si>
  <si>
    <t>017</t>
  </si>
  <si>
    <t>018</t>
  </si>
  <si>
    <t>054</t>
  </si>
  <si>
    <t>055</t>
  </si>
  <si>
    <t>056</t>
  </si>
  <si>
    <t>021</t>
  </si>
  <si>
    <t>057</t>
  </si>
  <si>
    <t>030</t>
  </si>
  <si>
    <t>058</t>
  </si>
  <si>
    <t>024</t>
  </si>
  <si>
    <t>038</t>
  </si>
  <si>
    <t>039</t>
  </si>
  <si>
    <t>016</t>
  </si>
  <si>
    <t>034</t>
  </si>
  <si>
    <t>059</t>
  </si>
  <si>
    <t>019</t>
  </si>
  <si>
    <t>035</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</si>
  <si>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</si>
  <si>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</si>
  <si>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</si>
  <si>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</si>
  <si>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</si>
  <si>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</si>
  <si>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</si>
  <si>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</si>
  <si>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</si>
  <si>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</si>
  <si>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</si>
  <si>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</si>
  <si>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</si>
  <si>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</si>
  <si>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</si>
  <si>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</si>
  <si>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</si>
  <si>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</si>
  <si>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</si>
  <si>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</si>
  <si>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</si>
  <si>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</si>
  <si>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</si>
  <si>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</si>
  <si>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</si>
  <si>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</si>
  <si>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</si>
  <si>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005</t>
  </si>
  <si>
    <t>087</t>
  </si>
  <si>
    <t>088</t>
  </si>
  <si>
    <t>089</t>
  </si>
  <si>
    <t>090</t>
  </si>
  <si>
    <t>091</t>
  </si>
  <si>
    <t>092</t>
  </si>
  <si>
    <t>093</t>
  </si>
  <si>
    <t>094</t>
  </si>
  <si>
    <t>095</t>
  </si>
  <si>
    <t>096</t>
  </si>
  <si>
    <t>042</t>
  </si>
  <si>
    <t>043</t>
  </si>
  <si>
    <t>044</t>
  </si>
  <si>
    <t>045</t>
  </si>
  <si>
    <t>046</t>
  </si>
  <si>
    <t>047</t>
  </si>
  <si>
    <t>048</t>
  </si>
  <si>
    <t>049</t>
  </si>
  <si>
    <t>050</t>
  </si>
  <si>
    <t>051</t>
  </si>
  <si>
    <t>052</t>
  </si>
  <si>
    <t>053</t>
  </si>
  <si>
    <t>DOG-FY25-054</t>
  </si>
  <si>
    <t>DOG-FY25-049</t>
  </si>
  <si>
    <t>DOG-FY25-046</t>
  </si>
  <si>
    <t>DOG-FY25-051</t>
  </si>
  <si>
    <t>DOG-FY25-056</t>
  </si>
  <si>
    <t>DOG-FY25-034</t>
  </si>
  <si>
    <t>DOG-FY25-048</t>
  </si>
  <si>
    <t>DOG-FY25-019</t>
  </si>
  <si>
    <t>DOG-FY25-030</t>
  </si>
  <si>
    <t>DOG-FY25-005</t>
  </si>
  <si>
    <t>DOG-FY25-052</t>
  </si>
  <si>
    <t>DOG-FY25-044</t>
  </si>
  <si>
    <t>DOG-FY25-057</t>
  </si>
  <si>
    <t>DOG-FY25-050</t>
  </si>
  <si>
    <t>DOG-FY25-043</t>
  </si>
  <si>
    <t>DOG-FY25-038</t>
  </si>
  <si>
    <t>DOG-FY25-039</t>
  </si>
  <si>
    <t>HSPEE-FY25-009</t>
  </si>
  <si>
    <t>HSPEE-FY25-014</t>
  </si>
  <si>
    <t>HSPEE-FY25-017</t>
  </si>
  <si>
    <t>HSPEE-FY25-018</t>
  </si>
  <si>
    <t>HSPEE-FY25-008</t>
  </si>
  <si>
    <t>HSPEE-FY25-004</t>
  </si>
  <si>
    <t>HSPEE-FY25-002</t>
  </si>
  <si>
    <t>HSPEE-FY25-001</t>
  </si>
  <si>
    <t>HSPEE-FY25-003</t>
  </si>
  <si>
    <t>HSPEE-FY25-010</t>
  </si>
  <si>
    <t>HSPEE-FY25-015</t>
  </si>
  <si>
    <t>HSPEE-FY25-013</t>
  </si>
  <si>
    <t>HSPEE-FY25-011</t>
  </si>
  <si>
    <t>HSPEE-FY25-007</t>
  </si>
  <si>
    <t>HSPEE-FY25-012</t>
  </si>
  <si>
    <t>HSPIA-FY25-029</t>
  </si>
  <si>
    <t>HSPIA-FY25-049</t>
  </si>
  <si>
    <t>HSPIA-FY25-047</t>
  </si>
  <si>
    <t>HSPIA-FY25-036</t>
  </si>
  <si>
    <t>HSPIA-FY25-034</t>
  </si>
  <si>
    <t>HSPIA-FY25-002</t>
  </si>
  <si>
    <t>HSPIA-FY25-016</t>
  </si>
  <si>
    <t>HSPIA-FY25-037</t>
  </si>
  <si>
    <t>HSPIA-FY25-026</t>
  </si>
  <si>
    <t>HSPIA-FY25-044</t>
  </si>
  <si>
    <t>HSPIA-FY25-059</t>
  </si>
  <si>
    <t>HSPIA-FY25-025</t>
  </si>
  <si>
    <t>HSPIA-FY25-057</t>
  </si>
  <si>
    <t>HSPIA-FY25-028</t>
  </si>
  <si>
    <t>HSPIA-FY25-031</t>
  </si>
  <si>
    <t>HSPIA-FY25-010</t>
  </si>
  <si>
    <t>HSPIA-FY25-004</t>
  </si>
  <si>
    <t>HSPIA-FY25-040</t>
  </si>
  <si>
    <t>HSPIA-FY25-011</t>
  </si>
  <si>
    <t>HSPIA-FY25-041</t>
  </si>
  <si>
    <t>HSPIA-FY25-027</t>
  </si>
  <si>
    <t>HSPIA-FY25-018</t>
  </si>
  <si>
    <t>HSPIA-FY25-052</t>
  </si>
  <si>
    <t>HSPIA-FY25-054</t>
  </si>
  <si>
    <t>HSPIA-FY25-023</t>
  </si>
  <si>
    <t>HSPIA-FY25-045</t>
  </si>
  <si>
    <t>HSPIA-FY25-017</t>
  </si>
  <si>
    <t>HSPIA-FY25-039</t>
  </si>
  <si>
    <t>HSPIA-FY25-020</t>
  </si>
  <si>
    <t>HSPIA-FY25-030</t>
  </si>
  <si>
    <t>HSPIA-FY25-043</t>
  </si>
  <si>
    <t>NW-FY25-014</t>
  </si>
  <si>
    <t>NW-FY25-009</t>
  </si>
  <si>
    <t>NW-FY25-012</t>
  </si>
  <si>
    <t>NW-FY25-011</t>
  </si>
  <si>
    <t>NW-FY25-007</t>
  </si>
  <si>
    <t>NW-FY25-008</t>
  </si>
  <si>
    <t>NW-FY25-013</t>
  </si>
  <si>
    <t>NW-FY25-006</t>
  </si>
  <si>
    <t>NW-FY25-005</t>
  </si>
  <si>
    <t>NW-FY25-004</t>
  </si>
  <si>
    <t>NW-FY25-015</t>
  </si>
  <si>
    <t>NW-FY25-001</t>
  </si>
  <si>
    <t>Soil &amp; Water Conservation District</t>
  </si>
  <si>
    <t>The Central Curry Soil and Water Soil &amp; Water Conservation District (SWCD) is requesting funds to host an Innovative Ag Conference in 2025. The conference will provide continuing education credits and invaluable information to help producers implement and sustain existing agricultural practices and programs, such as rainwater harvesting, healthy soil programs, weed control and management, groundwater conservation, and other techniques and resources available. Partners such as the New Mexico Department of Agriculture (NMDA) and the Natural Resources Conservation Service (NRCS) will also be there to explain what programs they offer. This conference was last held in 2019 and was attended by 250 producers.</t>
  </si>
  <si>
    <t>Ciudad Soil and Water Soil &amp; Water Conservation District Land Use Plan Development</t>
  </si>
  <si>
    <t>The Guadalupe Soil &amp; Water Soil &amp; Water Conservation District will work with landowners to promote and implement mesquite treatment and removal projects throughout the district to improve grazing opportunities, property values, and ease the difficulty of livestock handling. Treatment of individual mesquite plants will consist of the most effective way of treatment, Pronone Power Pellets. A year following pellet treatment, removal of dead standing plants will include mastication utilizing a two-track skid steer with rotary cutter attachment. Once invasive shrub densities are reduced, the District will witness the re-establishment of native grasses and forms that will result in healthier, more productive rangelands.</t>
  </si>
  <si>
    <t>Developing a Conservation/Land Use Plan for the Northeastern Soil &amp; Water Soil &amp; Water Conservation District</t>
  </si>
  <si>
    <t>The Northeastern Soil &amp; Water Soil &amp; Water Conservation District desires a conservation/land use plan that will conserve the natural resources of our district. There is a continuing need to promote public understanding that land and water is the most important resource within NSWCD and as such, it must be used in a sustainable way. At the present time the district has no functioning land use plan so our district desires to develop a plan with a professional to aid the district. NSWCD wishes to work through NMDA to achieve betterment of the district.</t>
  </si>
  <si>
    <t>The Quemado Soil and Water Soil &amp; Water Conservation District intends to hire a contractor to help them gather data on what the resource needs are within the District and potential methods to improve and address those needs.  This information will be provided to the general public for their input and after this information is collated with known data a Long Range Plan or  Land Use Plan will be drafted, depending on what the data determines.  This Plan will be utilized by the District to solicit funds to implement on the ground projects and help with the growth of the District.</t>
  </si>
  <si>
    <t>A collaboration with the KENW Broadcast Center and Roosevelt, Central Curry, and Border Soil &amp; Water Soil &amp; Water Conservation Districts to secure content, produce, record, edit, and air up to 52 two- to five-minute “All About Ag” radio segments to be aired on the KENW Public Radio Network.  The objective is to provide information to residents of New Mexico regarding Soil &amp; Water Soil &amp; Water Conservation District programs and resources and various other facts and information related to agriculture.  The success of the project will be measured by the public interest and feedback from the listeners of the "All About Ag" radio segments.</t>
  </si>
  <si>
    <t>The Salado Soil and Water Soil &amp; Water Conservation District intends to hire a contractor to help them gather data on what the resource needs are within the District and potential methods to improve and address those needs.  This information will be provided to the general public for their input and after this information is collated with known data a Long Range Plan or  Land Use Plan will be drafted, depending on what the data determines.  This Plan will be utilized by the District to solicit funds to implement on the ground projects and help with the growth of the District.</t>
  </si>
  <si>
    <t>Planning Conservation with the Residents for the Valencia Soil and Water Soil &amp; Water Conservation District (VSWCD, Valencia SWCD)</t>
  </si>
  <si>
    <t>Guadalupe Soil &amp; Water Soil &amp; Water Conservation District Soil &amp; Seed Program</t>
  </si>
  <si>
    <t>The Taos Soil and Water Soil &amp; Water Conservation District will cover crop 230 acres of cropland and rangeland, most of it irrigated, with diverse annual and perennial species depending on the context of the specific parcels and the land stewards managing them.  Local no till drill operators will plant the seed.</t>
  </si>
  <si>
    <t>Philmont Scout Ranch has a long-standing history of doing responsible and effective land management which includes extensive work with the Colfax County Soil and Water Soil &amp; Water Conservation District to combat noxious weeds on Philmont Scout Ranch, Vermejo Park Ranch and the Valle Vidal.   Over the past 13 years, Philmont has undertaken significant efforts to inventory and treat noxious weeds, employing extensive chemical, manual and biological control methods. This grant will enable Philmont to further treat acres of noxious weeds which complements previous efforts and ongoing projects. Since 2023, Philmont has initiated restorative thinning plans in two units on the ranch covering a total of 900 acres. Within the Crater Restorative Thinning Unit ground disturbance from machinery has primed the area for higher-than-normal infestation of noxious weeds. Within the treatment unit there is a vast road and trail network along with stream channels that all can act as a mode for seed to rapidly disperse and move into other areas of lesser concern.  As part of a holistic land management approach, this project will address the need for treatment of know species in the unit (musk, bull and scotch thistle) and implement EDRR (hoary cress, yellow toadflax and canada thistle).    The project area covers 420 acres in total which has been under ongoing treatment of noxious weeds for the past three years. Utilizing seasonal staff for herbicide treatments and conducting mechanical removal workdays with volunteer labor. A contract sprayer will be utilized to effectively treat the extensive acreage in this unit.</t>
  </si>
  <si>
    <t>Luna County and the Deming Soil and Water Soil &amp; Water Conservation District are concerned with the current infestations of African Rue, Malta Starthistle, Russian Knapweed, and Saltcedar within our county. These noxious and invasive plants reduce the agricultural, economical, and recreational value of the land.   Private landowners, public land users, and local governments and organizations must work together to implement this plan.  In order to achieve our goals, we will be utilizing an experienced contractor to treat these noxious species on public and private land.  Areas of high use will be targeted to reduce the spread of these plants from high volume vehicle and foot traffic.  There will be a strong focus on the treatment of roadways, right of ways, and public areas.  We will be monitoring the acres treated by evaluating current and past treatment areas and identifying areas of infestation that will require future herbicidal applications.  Our goal is to treat the noxious vegetation with herbicides on approximately 350 acres of private and public lands for the period of 9/24 – 11/25.  We will be monitoring these areas for re-infestation and treatment success. Documentation of methods and specific herbicides utilized are required of any contractor or individual who is applying the chemical treatment.  Specific location data (GPS coordinates) will also be required which will enable us to track areas of treatment and possible future reapplication.  Photos of these locations will be taken before and after chemical application to ensure that treatment efforts have been successful.</t>
  </si>
  <si>
    <t>Hand Treatment, Cut Stump and Chemical Treatment of Siberian Elm, Saltcedar and Musk Thistle will be performed along the Canadian River Watershed partnering with US Forest Service and the Canadian River Riparian Restoration Project. The project is within an area that was previously treated by aerial application of herbicide using a helicopter equipped with GPS applying Amazapere to remove Saltcedar (which is not effective in the treatment of Siberian Elm); this follow up treatment using Cut Stump method and applying Garlon 4 (Triclopyr) to Elm and resprouts of Saltcedar and using Milestone (Amenopyralid) to treat Musk Thistle. The Canadian River Noxious Weed Treatment is a small portion of a larger watershed scale project which includes 8 Soil and Water Soil &amp; Water Conservation Districts working together under a Joint Powers Agreement plus 21 state and federal agencies.</t>
  </si>
  <si>
    <t>Acequia or Community Ditch</t>
  </si>
  <si>
    <t>Individual Applicant</t>
  </si>
  <si>
    <t>Watershed District</t>
  </si>
  <si>
    <t>Tribe, Nation, or Pueblo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</si>
</sst>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9" x14ac:knownFonts="1">
    <font>
      <sz val="11"/>
      <color theme="1"/>
      <name val="Calibri"/>
      <family val="2"/>
      <scheme val="minor"/>
    </font>
    <font>
      <sz val="11"/>
      <color theme="1"/>
      <name val="Calibri"/>
      <family val="2"/>
      <scheme val="minor"/>
    </font>
    <font>
      <sz val="12"/>
      <color theme="1"/>
      <name val="Calibri"/>
      <family val="2"/>
      <scheme val="minor"/>
    </font>
    <font>
      <sz val="10"/>
      <name val="Arial"/>
      <family val="2"/>
    </font>
    <font>
      <sz val="9"/>
      <color rgb="FF111111"/>
      <name val="Arial"/>
      <family val="2"/>
    </font>
    <font>
      <b/>
      <sz val="12"/>
      <color theme="1"/>
      <name val="Calibri"/>
      <family val="2"/>
      <scheme val="minor"/>
    </font>
    <font>
      <sz val="8"/>
      <name val="Calibri"/>
      <family val="2"/>
      <scheme val="minor"/>
    </font>
    <font>
      <sz val="12"/>
      <color theme="1"/>
      <name val="Calibri"/>
      <family val="2"/>
    </font>
    <font>
      <b/>
      <sz val="11"/>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rgb="FFFFFFFF"/>
        <bgColor rgb="FFFFFFFF"/>
      </patternFill>
    </fill>
    <fill>
      <patternFill patternType="solid">
        <fgColor rgb="FFFFFF00"/>
        <bgColor indexed="64"/>
      </patternFill>
    </fill>
  </fills>
  <borders count="12">
    <border>
      <left/>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s>
  <cellStyleXfs count="3">
    <xf numFmtId="0" fontId="0" fillId="0" borderId="0"/>
    <xf numFmtId="44" fontId="1" fillId="0" borderId="0" applyFont="0" applyFill="0" applyBorder="0" applyAlignment="0" applyProtection="0"/>
    <xf numFmtId="0" fontId="3" fillId="0" borderId="0"/>
  </cellStyleXfs>
  <cellXfs count="31">
    <xf numFmtId="0" fontId="0" fillId="0" borderId="0" xfId="0"/>
    <xf numFmtId="44" fontId="0" fillId="0" borderId="0" xfId="1" applyFont="1"/>
    <xf numFmtId="0" fontId="0" fillId="0" borderId="1" xfId="0" applyBorder="1"/>
    <xf numFmtId="44" fontId="0" fillId="0" borderId="1" xfId="1" applyFont="1" applyBorder="1"/>
    <xf numFmtId="0" fontId="2" fillId="0" borderId="0" xfId="0" applyFont="1"/>
    <xf numFmtId="44" fontId="0" fillId="0" borderId="0" xfId="1" applyFont="1" applyBorder="1"/>
    <xf numFmtId="44" fontId="0" fillId="0" borderId="0" xfId="0" applyNumberFormat="1"/>
    <xf numFmtId="0" fontId="0" fillId="0" borderId="2" xfId="0" applyBorder="1"/>
    <xf numFmtId="44" fontId="0" fillId="0" borderId="3" xfId="1" applyFont="1" applyBorder="1"/>
    <xf numFmtId="0" fontId="0" fillId="0" borderId="4" xfId="0" applyBorder="1"/>
    <xf numFmtId="44" fontId="0" fillId="0" borderId="5" xfId="0" applyNumberFormat="1" applyBorder="1"/>
    <xf numFmtId="44" fontId="0" fillId="0" borderId="5" xfId="1" applyFont="1" applyBorder="1"/>
    <xf numFmtId="0" fontId="0" fillId="0" borderId="6" xfId="0" applyBorder="1"/>
    <xf numFmtId="44" fontId="0" fillId="0" borderId="7" xfId="1" applyFont="1" applyBorder="1"/>
    <xf numFmtId="0" fontId="0" fillId="2" borderId="8" xfId="0" applyFill="1" applyBorder="1" applyAlignment="1">
      <alignment wrapText="1"/>
    </xf>
    <xf numFmtId="44" fontId="0" fillId="2" borderId="9" xfId="0" applyNumberFormat="1" applyFill="1" applyBorder="1"/>
    <xf numFmtId="0" fontId="4" fillId="3" borderId="11"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0" fillId="0" borderId="0" xfId="0" quotePrefix="1"/>
    <xf numFmtId="0" fontId="4" fillId="3" borderId="0" xfId="0" applyFont="1" applyFill="1" applyAlignment="1">
      <alignment horizontal="left" vertical="center"/>
    </xf>
    <xf numFmtId="0" fontId="5" fillId="0" borderId="0" xfId="0" applyFont="1"/>
    <xf numFmtId="0" fontId="5" fillId="0" borderId="0" xfId="0" applyFont="1" applyAlignment="1">
      <alignment wrapText="1"/>
    </xf>
    <xf numFmtId="44" fontId="2" fillId="0" borderId="0" xfId="1" applyFont="1" applyFill="1" applyBorder="1"/>
    <xf numFmtId="0" fontId="2" fillId="0" borderId="0" xfId="0" applyFont="1" applyAlignment="1">
      <alignment wrapText="1"/>
    </xf>
    <xf numFmtId="44" fontId="2" fillId="0" borderId="0" xfId="1" applyFont="1" applyFill="1"/>
    <xf numFmtId="0" fontId="2" fillId="4" borderId="0" xfId="0" applyFont="1" applyFill="1"/>
    <xf numFmtId="0" fontId="0" fillId="4" borderId="0" xfId="0" applyFill="1"/>
    <xf numFmtId="0" fontId="8" fillId="0" borderId="1" xfId="0" applyFont="1" applyBorder="1"/>
    <xf numFmtId="164" fontId="8" fillId="0" borderId="1" xfId="0" applyNumberFormat="1" applyFont="1" applyBorder="1" applyAlignment="1">
      <alignment horizontal="center"/>
    </xf>
    <xf numFmtId="164" fontId="0" fillId="0" borderId="0" xfId="0" applyNumberFormat="1" applyAlignment="1">
      <alignment horizontal="center"/>
    </xf>
    <xf numFmtId="164" fontId="0" fillId="0" borderId="1" xfId="0" applyNumberFormat="1" applyBorder="1" applyAlignment="1">
      <alignment horizontal="center"/>
    </xf>
  </cellXfs>
  <cellStyles count="3">
    <cellStyle name="Currency" xfId="1" builtinId="4"/>
    <cellStyle name="Normal" xfId="0" builtinId="0"/>
    <cellStyle name="Normal 2" xfId="2" xr:uid="{37048DEB-3767-4A4A-A1B7-9459B1A2CBEE}"/>
  </cellStyles>
  <dxfs count="9">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9"/>
        <color rgb="FF111111"/>
        <name val="Arial"/>
        <family val="2"/>
        <scheme val="none"/>
      </font>
      <numFmt numFmtId="0" formatCode="General"/>
      <fill>
        <patternFill patternType="solid">
          <fgColor rgb="FFFFFFFF"/>
          <bgColor rgb="FFFFFFFF"/>
        </patternFill>
      </fill>
      <alignment horizontal="left" vertical="center"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outline="0">
        <bottom style="thin">
          <color theme="0" tint="-0.14996795556505021"/>
        </bottom>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5F5CA1-DA6F-4690-B3D2-C1D1EF26BE14}" name="NWMG" displayName="NWMG" ref="A1:D16" totalsRowShown="0">
  <autoFilter ref="A1:D16" xr:uid="{5EF7BAF6-D425-4E95-A1E3-21B3BA66C86C}"/>
  <tableColumns count="4">
    <tableColumn id="1" xr3:uid="{D5BE89E9-2C76-4874-B41D-301B7BD9D838}" name="app#"/>
    <tableColumn id="2" xr3:uid="{5FA7BC42-1BE3-4262-8743-6F85133577B8}" name="entity"/>
    <tableColumn id="3" xr3:uid="{93D5DB84-E2B7-4520-8AE6-5F573D8EED2B}" name="summary"/>
    <tableColumn id="4" xr3:uid="{824455C9-8AEA-4F9F-A7BE-DB6E28161783}" name="addre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29EF8F-2E9D-4F60-8D85-867F707D9B3C}" name="DOG" displayName="DOG" ref="A1:F58" totalsRowShown="0">
  <autoFilter ref="A1:F58" xr:uid="{FF66170B-1019-488A-B96E-EEFD14431543}"/>
  <tableColumns count="6">
    <tableColumn id="1" xr3:uid="{CB1F3FFE-BA9F-43F8-8CB1-3766DC2E21C8}" name="ap#" dataDxfId="8"/>
    <tableColumn id="2" xr3:uid="{AC88272D-0EF0-452C-A873-EBC06091D6E9}" name="district"/>
    <tableColumn id="3" xr3:uid="{58B485E1-0D2E-4403-88E8-6B9EFE37664A}" name="Summary"/>
    <tableColumn id="4" xr3:uid="{3F285024-74F0-4191-B512-A6020D255CA3}" name="address"/>
    <tableColumn id="5" xr3:uid="{5D5666D2-6E6C-43C7-BABC-219C216D4BD1}" name="lat"/>
    <tableColumn id="6" xr3:uid="{57E383F3-4281-47DD-A4CC-9A975DF12F91}" name="lo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60442-A141-41DA-A72B-246249E4FFED}" name="HSPIA" displayName="HSPIA" ref="A1:F71" totalsRowShown="0" dataDxfId="7" tableBorderDxfId="6">
  <autoFilter ref="A1:F71" xr:uid="{25B9D276-D344-404F-A672-9D3723B91834}"/>
  <tableColumns count="6">
    <tableColumn id="1" xr3:uid="{2C8B19D6-AA80-4C7F-99B4-5E38464E959E}" name="app#" dataDxfId="5"/>
    <tableColumn id="2" xr3:uid="{459B8CE1-96B4-46A2-93C6-5D23D75F3DE7}" name="Refer to as:" dataDxfId="4"/>
    <tableColumn id="3" xr3:uid="{F64778C7-DF0C-4456-96FE-09685CEE961A}" name="county" dataDxfId="3"/>
    <tableColumn id="4" xr3:uid="{5613D36A-00DC-4FD6-9C0A-599A365DB6A5}" name="Summary" dataDxfId="2"/>
    <tableColumn id="5" xr3:uid="{85E802AB-B3C1-497F-BE70-CEA412FF166B}" name="address" dataDxfId="1"/>
    <tableColumn id="6" xr3:uid="{67C77927-5AC6-485E-B1E4-B31B78E30345}" name="address_mix"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A75352-9C52-4E3B-B679-08CC47AE36EA}" name="HSPEE" displayName="HSPEE" ref="A78:H96" totalsRowShown="0">
  <autoFilter ref="A78:H96" xr:uid="{11D6BC09-F204-4BB6-BA66-ABDDE1F21F3D}"/>
  <tableColumns count="8">
    <tableColumn id="1" xr3:uid="{40E50B4E-FBDF-4269-9A97-7256CCB435C0}" name="app#"/>
    <tableColumn id="2" xr3:uid="{4B78B477-B141-4675-89B9-289A01FFB3C4}" name="entity"/>
    <tableColumn id="3" xr3:uid="{E95E402D-1E06-4837-8CB8-ABF50D9B7235}" name="county"/>
    <tableColumn id="4" xr3:uid="{C3FBA57A-F13E-45B9-BA6B-94C50C2EC36A}" name="title"/>
    <tableColumn id="5" xr3:uid="{E2587CCE-D214-471A-9500-C4C462C87876}" name="summary"/>
    <tableColumn id="6" xr3:uid="{E9DF62B7-92D6-40C1-839A-C2FDE0EDB905}" name="address"/>
    <tableColumn id="7" xr3:uid="{3226226B-0457-4FCA-933C-32080DD21FB7}" name="lat"/>
    <tableColumn id="8" xr3:uid="{E5C0877B-D1D9-4829-9F59-5E6FEE7958DB}" name="lo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91D0-D576-4BF5-A195-C951A8554F00}">
  <dimension ref="A1:I57"/>
  <sheetViews>
    <sheetView topLeftCell="A13" workbookViewId="0">
      <selection activeCell="A35" sqref="A35:F46"/>
    </sheetView>
  </sheetViews>
  <sheetFormatPr defaultRowHeight="15" x14ac:dyDescent="0.25"/>
  <cols>
    <col min="3" max="3" width="41.42578125" bestFit="1" customWidth="1"/>
    <col min="4" max="5" width="41.42578125" customWidth="1"/>
    <col min="6" max="6" width="43.85546875" customWidth="1"/>
    <col min="7" max="7" width="14.140625" customWidth="1"/>
    <col min="8" max="8" width="17.7109375" customWidth="1"/>
    <col min="9" max="9" width="13.140625" customWidth="1"/>
  </cols>
  <sheetData>
    <row r="1" spans="1:9" x14ac:dyDescent="0.25">
      <c r="A1" t="s">
        <v>4</v>
      </c>
      <c r="B1" t="s">
        <v>3</v>
      </c>
      <c r="C1" t="s">
        <v>0</v>
      </c>
      <c r="D1" t="s">
        <v>52</v>
      </c>
      <c r="E1" t="s">
        <v>84</v>
      </c>
      <c r="F1" t="s">
        <v>5</v>
      </c>
      <c r="G1" t="s">
        <v>1</v>
      </c>
      <c r="H1" t="s">
        <v>6</v>
      </c>
      <c r="I1" t="s">
        <v>32</v>
      </c>
    </row>
    <row r="2" spans="1:9" x14ac:dyDescent="0.25">
      <c r="A2">
        <v>54</v>
      </c>
      <c r="B2">
        <v>1</v>
      </c>
      <c r="C2" t="s">
        <v>10</v>
      </c>
      <c r="D2" t="s">
        <v>53</v>
      </c>
      <c r="E2" t="s">
        <v>85</v>
      </c>
      <c r="F2" s="1">
        <v>6600</v>
      </c>
      <c r="G2" s="1">
        <v>0</v>
      </c>
    </row>
    <row r="3" spans="1:9" x14ac:dyDescent="0.25">
      <c r="A3">
        <v>49</v>
      </c>
      <c r="B3">
        <v>2</v>
      </c>
      <c r="C3" t="s">
        <v>11</v>
      </c>
      <c r="D3" t="s">
        <v>54</v>
      </c>
      <c r="E3" t="s">
        <v>86</v>
      </c>
      <c r="F3" s="1">
        <v>11141</v>
      </c>
      <c r="G3" s="1">
        <v>0</v>
      </c>
    </row>
    <row r="4" spans="1:9" x14ac:dyDescent="0.25">
      <c r="A4">
        <v>15</v>
      </c>
      <c r="B4">
        <v>3</v>
      </c>
      <c r="C4" t="s">
        <v>12</v>
      </c>
      <c r="D4" t="s">
        <v>55</v>
      </c>
      <c r="E4" t="s">
        <v>87</v>
      </c>
      <c r="F4" s="1">
        <v>14998</v>
      </c>
      <c r="G4" s="1">
        <v>0</v>
      </c>
    </row>
    <row r="5" spans="1:9" x14ac:dyDescent="0.25">
      <c r="A5">
        <v>46</v>
      </c>
      <c r="B5">
        <v>4</v>
      </c>
      <c r="C5" t="s">
        <v>13</v>
      </c>
      <c r="D5" t="s">
        <v>56</v>
      </c>
      <c r="E5" t="s">
        <v>88</v>
      </c>
      <c r="F5" s="1">
        <v>133000</v>
      </c>
      <c r="G5" s="1">
        <v>577040.75</v>
      </c>
      <c r="H5" t="s">
        <v>8</v>
      </c>
      <c r="I5" t="s">
        <v>9</v>
      </c>
    </row>
    <row r="6" spans="1:9" x14ac:dyDescent="0.25">
      <c r="A6">
        <v>56</v>
      </c>
      <c r="B6">
        <v>5</v>
      </c>
      <c r="C6" t="s">
        <v>14</v>
      </c>
      <c r="D6" t="s">
        <v>57</v>
      </c>
      <c r="E6" t="s">
        <v>89</v>
      </c>
      <c r="F6" s="1">
        <v>17267.939999999999</v>
      </c>
      <c r="G6" s="1">
        <v>0</v>
      </c>
    </row>
    <row r="7" spans="1:9" x14ac:dyDescent="0.25">
      <c r="A7">
        <v>34</v>
      </c>
      <c r="B7">
        <v>6</v>
      </c>
      <c r="C7" t="s">
        <v>14</v>
      </c>
      <c r="D7" t="s">
        <v>58</v>
      </c>
      <c r="E7" t="s">
        <v>89</v>
      </c>
      <c r="F7" s="1">
        <v>25000</v>
      </c>
      <c r="G7" s="1">
        <v>0</v>
      </c>
    </row>
    <row r="8" spans="1:9" x14ac:dyDescent="0.25">
      <c r="A8">
        <v>51</v>
      </c>
      <c r="B8">
        <v>7</v>
      </c>
      <c r="C8" t="s">
        <v>14</v>
      </c>
      <c r="D8" t="s">
        <v>59</v>
      </c>
      <c r="E8" t="s">
        <v>89</v>
      </c>
      <c r="F8" s="1">
        <v>133000</v>
      </c>
      <c r="G8" s="1">
        <v>0</v>
      </c>
    </row>
    <row r="9" spans="1:9" x14ac:dyDescent="0.25">
      <c r="A9">
        <v>48</v>
      </c>
      <c r="B9">
        <v>8</v>
      </c>
      <c r="C9" t="s">
        <v>15</v>
      </c>
      <c r="D9" t="s">
        <v>60</v>
      </c>
      <c r="E9" t="s">
        <v>90</v>
      </c>
      <c r="F9" s="1">
        <v>18180</v>
      </c>
      <c r="G9" s="1">
        <v>0</v>
      </c>
    </row>
    <row r="10" spans="1:9" x14ac:dyDescent="0.25">
      <c r="A10">
        <v>37</v>
      </c>
      <c r="B10">
        <v>9</v>
      </c>
      <c r="C10" t="s">
        <v>16</v>
      </c>
      <c r="D10" t="s">
        <v>61</v>
      </c>
      <c r="E10" t="s">
        <v>98</v>
      </c>
      <c r="F10" s="1">
        <v>5382.52</v>
      </c>
      <c r="G10" s="1">
        <v>0</v>
      </c>
    </row>
    <row r="11" spans="1:9" x14ac:dyDescent="0.25">
      <c r="A11">
        <v>19</v>
      </c>
      <c r="B11">
        <v>10</v>
      </c>
      <c r="C11" t="s">
        <v>17</v>
      </c>
      <c r="D11" t="s">
        <v>62</v>
      </c>
      <c r="E11" t="s">
        <v>99</v>
      </c>
      <c r="F11" s="1">
        <v>20000</v>
      </c>
      <c r="G11" s="1">
        <v>0</v>
      </c>
    </row>
    <row r="12" spans="1:9" x14ac:dyDescent="0.25">
      <c r="A12">
        <v>25</v>
      </c>
      <c r="B12">
        <v>11</v>
      </c>
      <c r="C12" t="s">
        <v>101</v>
      </c>
      <c r="D12" t="s">
        <v>63</v>
      </c>
      <c r="E12" t="s">
        <v>91</v>
      </c>
      <c r="F12" s="1">
        <v>24475</v>
      </c>
      <c r="G12" s="1">
        <v>0</v>
      </c>
    </row>
    <row r="13" spans="1:9" x14ac:dyDescent="0.25">
      <c r="A13">
        <v>31</v>
      </c>
      <c r="B13">
        <v>12</v>
      </c>
      <c r="C13" t="s">
        <v>18</v>
      </c>
      <c r="D13" t="s">
        <v>64</v>
      </c>
      <c r="E13" t="s">
        <v>102</v>
      </c>
      <c r="F13" s="1">
        <v>7030</v>
      </c>
      <c r="G13" s="1">
        <v>0</v>
      </c>
    </row>
    <row r="14" spans="1:9" x14ac:dyDescent="0.25">
      <c r="A14">
        <v>17</v>
      </c>
      <c r="B14">
        <v>13</v>
      </c>
      <c r="C14" t="s">
        <v>18</v>
      </c>
      <c r="D14" t="s">
        <v>65</v>
      </c>
      <c r="E14" t="s">
        <v>102</v>
      </c>
      <c r="F14" s="1">
        <v>20492.830000000002</v>
      </c>
      <c r="G14" s="1">
        <v>0</v>
      </c>
    </row>
    <row r="15" spans="1:9" x14ac:dyDescent="0.25">
      <c r="A15">
        <v>30</v>
      </c>
      <c r="B15">
        <v>14</v>
      </c>
      <c r="C15" t="s">
        <v>19</v>
      </c>
      <c r="D15" t="s">
        <v>66</v>
      </c>
      <c r="E15" t="s">
        <v>92</v>
      </c>
      <c r="F15" s="1">
        <v>17215</v>
      </c>
      <c r="G15" s="1">
        <v>0</v>
      </c>
    </row>
    <row r="16" spans="1:9" x14ac:dyDescent="0.25">
      <c r="A16">
        <v>6</v>
      </c>
      <c r="B16">
        <v>15</v>
      </c>
      <c r="C16" t="s">
        <v>20</v>
      </c>
      <c r="D16" t="s">
        <v>67</v>
      </c>
      <c r="E16" t="s">
        <v>103</v>
      </c>
      <c r="F16" s="1">
        <v>21120</v>
      </c>
      <c r="G16" s="1">
        <v>0</v>
      </c>
    </row>
    <row r="17" spans="1:9" x14ac:dyDescent="0.25">
      <c r="A17">
        <v>18</v>
      </c>
      <c r="B17">
        <v>16</v>
      </c>
      <c r="C17" t="s">
        <v>21</v>
      </c>
      <c r="D17" t="s">
        <v>68</v>
      </c>
      <c r="E17" t="s">
        <v>93</v>
      </c>
      <c r="F17" s="1">
        <v>13600</v>
      </c>
      <c r="G17" s="1">
        <v>0</v>
      </c>
    </row>
    <row r="18" spans="1:9" x14ac:dyDescent="0.25">
      <c r="A18">
        <v>5</v>
      </c>
      <c r="B18">
        <v>17</v>
      </c>
      <c r="C18" t="s">
        <v>22</v>
      </c>
      <c r="D18" t="s">
        <v>69</v>
      </c>
      <c r="E18" t="s">
        <v>104</v>
      </c>
      <c r="F18" s="1">
        <v>21120</v>
      </c>
      <c r="G18" s="1">
        <v>0</v>
      </c>
    </row>
    <row r="19" spans="1:9" x14ac:dyDescent="0.25">
      <c r="A19">
        <v>52</v>
      </c>
      <c r="B19">
        <v>18</v>
      </c>
      <c r="C19" t="s">
        <v>23</v>
      </c>
      <c r="D19" t="s">
        <v>70</v>
      </c>
      <c r="E19" t="s">
        <v>105</v>
      </c>
      <c r="F19" s="1">
        <v>15000</v>
      </c>
      <c r="G19" s="1">
        <v>0</v>
      </c>
    </row>
    <row r="20" spans="1:9" x14ac:dyDescent="0.25">
      <c r="A20">
        <v>2</v>
      </c>
      <c r="B20">
        <v>19</v>
      </c>
      <c r="C20" t="s">
        <v>24</v>
      </c>
      <c r="D20" t="s">
        <v>71</v>
      </c>
      <c r="E20" t="s">
        <v>107</v>
      </c>
      <c r="F20" s="1">
        <v>20000</v>
      </c>
      <c r="G20" s="1">
        <v>0</v>
      </c>
    </row>
    <row r="21" spans="1:9" x14ac:dyDescent="0.25">
      <c r="A21">
        <v>33</v>
      </c>
      <c r="B21">
        <v>20</v>
      </c>
      <c r="C21" t="s">
        <v>25</v>
      </c>
      <c r="D21" t="s">
        <v>72</v>
      </c>
      <c r="E21" t="s">
        <v>95</v>
      </c>
      <c r="F21" s="1">
        <v>19662.8</v>
      </c>
      <c r="G21" s="1">
        <v>0</v>
      </c>
    </row>
    <row r="22" spans="1:9" x14ac:dyDescent="0.25">
      <c r="A22">
        <v>29</v>
      </c>
      <c r="B22">
        <v>21</v>
      </c>
      <c r="C22" t="s">
        <v>25</v>
      </c>
      <c r="D22" t="s">
        <v>73</v>
      </c>
      <c r="E22" t="s">
        <v>95</v>
      </c>
      <c r="F22" s="1">
        <v>75000</v>
      </c>
      <c r="G22" s="1">
        <v>132000</v>
      </c>
      <c r="H22" t="s">
        <v>7</v>
      </c>
      <c r="I22" t="s">
        <v>50</v>
      </c>
    </row>
    <row r="23" spans="1:9" x14ac:dyDescent="0.25">
      <c r="A23">
        <v>44</v>
      </c>
      <c r="B23">
        <v>22</v>
      </c>
      <c r="C23" t="s">
        <v>26</v>
      </c>
      <c r="D23" t="s">
        <v>74</v>
      </c>
      <c r="E23" t="s">
        <v>100</v>
      </c>
      <c r="F23" s="1">
        <v>75659</v>
      </c>
      <c r="G23" s="1">
        <v>0</v>
      </c>
    </row>
    <row r="24" spans="1:9" x14ac:dyDescent="0.25">
      <c r="A24">
        <v>57</v>
      </c>
      <c r="B24">
        <v>23</v>
      </c>
      <c r="C24" t="s">
        <v>27</v>
      </c>
      <c r="D24" t="s">
        <v>75</v>
      </c>
      <c r="E24" t="s">
        <v>96</v>
      </c>
      <c r="F24" s="1">
        <v>18177</v>
      </c>
      <c r="G24" s="1">
        <v>0</v>
      </c>
    </row>
    <row r="25" spans="1:9" x14ac:dyDescent="0.25">
      <c r="A25">
        <v>32</v>
      </c>
      <c r="B25">
        <v>24</v>
      </c>
      <c r="C25" t="s">
        <v>27</v>
      </c>
      <c r="D25" t="s">
        <v>76</v>
      </c>
      <c r="E25" t="s">
        <v>96</v>
      </c>
      <c r="F25" s="1">
        <v>15000</v>
      </c>
      <c r="G25" s="1">
        <v>0</v>
      </c>
    </row>
    <row r="26" spans="1:9" x14ac:dyDescent="0.25">
      <c r="A26">
        <v>36</v>
      </c>
      <c r="B26">
        <v>25</v>
      </c>
      <c r="C26" t="s">
        <v>27</v>
      </c>
      <c r="D26" t="s">
        <v>77</v>
      </c>
      <c r="E26" t="s">
        <v>96</v>
      </c>
      <c r="F26" s="1">
        <v>59983</v>
      </c>
      <c r="G26" s="1">
        <v>0</v>
      </c>
    </row>
    <row r="27" spans="1:9" x14ac:dyDescent="0.25">
      <c r="A27">
        <v>50</v>
      </c>
      <c r="B27">
        <v>26</v>
      </c>
      <c r="C27" t="s">
        <v>28</v>
      </c>
      <c r="D27" t="s">
        <v>78</v>
      </c>
      <c r="E27" t="s">
        <v>108</v>
      </c>
      <c r="F27" s="1">
        <v>14753.24</v>
      </c>
      <c r="G27" s="1">
        <v>0</v>
      </c>
    </row>
    <row r="28" spans="1:9" x14ac:dyDescent="0.25">
      <c r="A28">
        <v>43</v>
      </c>
      <c r="B28">
        <v>27</v>
      </c>
      <c r="C28" t="s">
        <v>2</v>
      </c>
      <c r="D28" t="s">
        <v>79</v>
      </c>
      <c r="E28" t="s">
        <v>111</v>
      </c>
      <c r="F28" s="1">
        <v>138812</v>
      </c>
      <c r="G28" s="1">
        <v>0</v>
      </c>
      <c r="I28" t="s">
        <v>43</v>
      </c>
    </row>
    <row r="29" spans="1:9" x14ac:dyDescent="0.25">
      <c r="A29">
        <v>27</v>
      </c>
      <c r="B29">
        <v>28</v>
      </c>
      <c r="C29" t="s">
        <v>29</v>
      </c>
      <c r="D29" t="s">
        <v>80</v>
      </c>
      <c r="E29" t="s">
        <v>109</v>
      </c>
      <c r="F29" s="1">
        <v>14921.5</v>
      </c>
      <c r="G29" s="1">
        <v>0</v>
      </c>
    </row>
    <row r="30" spans="1:9" x14ac:dyDescent="0.25">
      <c r="A30">
        <v>28</v>
      </c>
      <c r="B30">
        <v>29</v>
      </c>
      <c r="C30" t="s">
        <v>29</v>
      </c>
      <c r="D30" t="s">
        <v>81</v>
      </c>
      <c r="E30" t="s">
        <v>109</v>
      </c>
      <c r="F30" s="1">
        <v>24530</v>
      </c>
      <c r="G30" s="1">
        <v>0</v>
      </c>
    </row>
    <row r="31" spans="1:9" x14ac:dyDescent="0.25">
      <c r="A31">
        <v>38</v>
      </c>
      <c r="B31">
        <v>30</v>
      </c>
      <c r="C31" t="s">
        <v>30</v>
      </c>
      <c r="D31" t="s">
        <v>82</v>
      </c>
      <c r="E31" t="s">
        <v>110</v>
      </c>
      <c r="F31" s="1">
        <v>18003</v>
      </c>
      <c r="G31" s="1">
        <v>0</v>
      </c>
    </row>
    <row r="32" spans="1:9" x14ac:dyDescent="0.25">
      <c r="A32" s="2">
        <v>39</v>
      </c>
      <c r="B32" s="2">
        <v>31</v>
      </c>
      <c r="C32" s="2" t="s">
        <v>30</v>
      </c>
      <c r="D32" s="2" t="s">
        <v>83</v>
      </c>
      <c r="E32" s="2" t="s">
        <v>110</v>
      </c>
      <c r="F32" s="3">
        <v>19822.169999999998</v>
      </c>
      <c r="G32" s="3">
        <v>0</v>
      </c>
      <c r="H32" s="2"/>
      <c r="I32" s="2"/>
    </row>
    <row r="33" spans="1:9" ht="15.75" x14ac:dyDescent="0.25">
      <c r="F33" s="4" t="s">
        <v>31</v>
      </c>
      <c r="G33" s="1">
        <f>_xlfn.AGGREGATE(9,6,G1:G32)</f>
        <v>709040.75</v>
      </c>
    </row>
    <row r="35" spans="1:9" x14ac:dyDescent="0.25">
      <c r="A35">
        <v>14</v>
      </c>
      <c r="B35">
        <v>1</v>
      </c>
      <c r="C35" t="s">
        <v>10</v>
      </c>
      <c r="D35" t="s">
        <v>112</v>
      </c>
      <c r="E35" t="s">
        <v>85</v>
      </c>
      <c r="F35" s="1">
        <v>57915</v>
      </c>
      <c r="G35" s="1">
        <v>0</v>
      </c>
    </row>
    <row r="36" spans="1:9" x14ac:dyDescent="0.25">
      <c r="A36">
        <v>9</v>
      </c>
      <c r="B36">
        <v>2</v>
      </c>
      <c r="C36" t="s">
        <v>38</v>
      </c>
      <c r="D36" t="s">
        <v>113</v>
      </c>
      <c r="E36" t="s">
        <v>90</v>
      </c>
      <c r="F36" s="1">
        <v>57200</v>
      </c>
      <c r="G36" s="1">
        <v>0</v>
      </c>
    </row>
    <row r="37" spans="1:9" x14ac:dyDescent="0.25">
      <c r="A37">
        <v>12</v>
      </c>
      <c r="B37">
        <v>3</v>
      </c>
      <c r="C37" t="s">
        <v>11</v>
      </c>
      <c r="D37" t="s">
        <v>114</v>
      </c>
      <c r="E37" t="s">
        <v>125</v>
      </c>
      <c r="F37" s="1">
        <v>60000</v>
      </c>
      <c r="G37" s="1">
        <v>70000</v>
      </c>
      <c r="H37">
        <v>70000</v>
      </c>
      <c r="I37" t="s">
        <v>51</v>
      </c>
    </row>
    <row r="38" spans="1:9" x14ac:dyDescent="0.25">
      <c r="A38">
        <v>11</v>
      </c>
      <c r="B38">
        <v>4</v>
      </c>
      <c r="C38" t="s">
        <v>13</v>
      </c>
      <c r="D38" t="s">
        <v>115</v>
      </c>
      <c r="E38" t="s">
        <v>126</v>
      </c>
      <c r="F38" s="1">
        <v>57745</v>
      </c>
      <c r="G38" s="1">
        <v>0</v>
      </c>
    </row>
    <row r="39" spans="1:9" x14ac:dyDescent="0.25">
      <c r="A39">
        <v>7</v>
      </c>
      <c r="B39">
        <v>5</v>
      </c>
      <c r="C39" t="s">
        <v>15</v>
      </c>
      <c r="D39" t="s">
        <v>116</v>
      </c>
      <c r="E39" t="s">
        <v>90</v>
      </c>
      <c r="F39" s="1">
        <v>59884</v>
      </c>
      <c r="G39" s="1">
        <v>0</v>
      </c>
      <c r="I39" t="s">
        <v>41</v>
      </c>
    </row>
    <row r="40" spans="1:9" x14ac:dyDescent="0.25">
      <c r="A40">
        <v>8</v>
      </c>
      <c r="B40">
        <v>6</v>
      </c>
      <c r="C40" t="s">
        <v>36</v>
      </c>
      <c r="D40" t="s">
        <v>117</v>
      </c>
      <c r="E40" t="s">
        <v>124</v>
      </c>
      <c r="F40" s="1">
        <v>55125</v>
      </c>
      <c r="G40" s="1">
        <v>0</v>
      </c>
    </row>
    <row r="41" spans="1:9" x14ac:dyDescent="0.25">
      <c r="A41">
        <v>13</v>
      </c>
      <c r="B41">
        <v>7</v>
      </c>
      <c r="C41" t="s">
        <v>33</v>
      </c>
      <c r="D41" t="s">
        <v>118</v>
      </c>
      <c r="E41" t="s">
        <v>128</v>
      </c>
      <c r="F41" s="1">
        <v>59941.42</v>
      </c>
      <c r="G41" s="1">
        <v>0</v>
      </c>
    </row>
    <row r="42" spans="1:9" x14ac:dyDescent="0.25">
      <c r="A42">
        <v>6</v>
      </c>
      <c r="B42">
        <v>8</v>
      </c>
      <c r="C42" t="s">
        <v>34</v>
      </c>
      <c r="D42" t="s">
        <v>119</v>
      </c>
      <c r="E42" t="s">
        <v>129</v>
      </c>
      <c r="F42" s="1">
        <v>47788.95</v>
      </c>
      <c r="G42" s="1">
        <v>0</v>
      </c>
    </row>
    <row r="43" spans="1:9" x14ac:dyDescent="0.25">
      <c r="A43">
        <v>5</v>
      </c>
      <c r="B43">
        <v>9</v>
      </c>
      <c r="C43" t="s">
        <v>37</v>
      </c>
      <c r="D43" t="s">
        <v>120</v>
      </c>
      <c r="E43" t="s">
        <v>127</v>
      </c>
      <c r="F43" s="1">
        <v>59400</v>
      </c>
      <c r="G43" s="1">
        <v>0</v>
      </c>
    </row>
    <row r="44" spans="1:9" x14ac:dyDescent="0.25">
      <c r="A44">
        <v>4</v>
      </c>
      <c r="B44">
        <v>10</v>
      </c>
      <c r="C44" t="s">
        <v>25</v>
      </c>
      <c r="D44" t="s">
        <v>121</v>
      </c>
      <c r="E44" t="s">
        <v>95</v>
      </c>
      <c r="F44" s="1">
        <v>59252.6</v>
      </c>
      <c r="G44" s="1">
        <v>0</v>
      </c>
    </row>
    <row r="45" spans="1:9" x14ac:dyDescent="0.25">
      <c r="A45">
        <v>15</v>
      </c>
      <c r="B45">
        <v>11</v>
      </c>
      <c r="C45" t="s">
        <v>35</v>
      </c>
      <c r="D45" t="s">
        <v>122</v>
      </c>
      <c r="E45" t="s">
        <v>96</v>
      </c>
      <c r="F45" s="5">
        <v>51150</v>
      </c>
      <c r="G45" s="5">
        <v>0</v>
      </c>
    </row>
    <row r="46" spans="1:9" x14ac:dyDescent="0.25">
      <c r="A46" s="2">
        <v>1</v>
      </c>
      <c r="B46" s="2">
        <v>12</v>
      </c>
      <c r="C46" s="2" t="s">
        <v>29</v>
      </c>
      <c r="D46" s="2" t="s">
        <v>123</v>
      </c>
      <c r="E46" s="2" t="s">
        <v>109</v>
      </c>
      <c r="F46" s="3">
        <v>59934</v>
      </c>
      <c r="G46" s="3">
        <v>20000</v>
      </c>
      <c r="H46" s="2" t="s">
        <v>39</v>
      </c>
      <c r="I46" s="2" t="s">
        <v>40</v>
      </c>
    </row>
    <row r="47" spans="1:9" ht="15.75" x14ac:dyDescent="0.25">
      <c r="F47" s="4" t="s">
        <v>42</v>
      </c>
      <c r="G47" s="6">
        <f>SUM(G35:G46)</f>
        <v>90000</v>
      </c>
    </row>
    <row r="50" spans="6:9" ht="15.75" thickBot="1" x14ac:dyDescent="0.3"/>
    <row r="51" spans="6:9" x14ac:dyDescent="0.25">
      <c r="F51" s="7" t="s">
        <v>45</v>
      </c>
      <c r="G51" s="8">
        <v>490000</v>
      </c>
    </row>
    <row r="52" spans="6:9" x14ac:dyDescent="0.25">
      <c r="F52" s="9" t="s">
        <v>31</v>
      </c>
      <c r="G52" s="10">
        <v>709040.75</v>
      </c>
    </row>
    <row r="53" spans="6:9" x14ac:dyDescent="0.25">
      <c r="F53" s="9" t="s">
        <v>42</v>
      </c>
      <c r="G53" s="10">
        <v>90000</v>
      </c>
    </row>
    <row r="54" spans="6:9" x14ac:dyDescent="0.25">
      <c r="F54" s="9" t="s">
        <v>44</v>
      </c>
      <c r="G54" s="11">
        <v>30000</v>
      </c>
    </row>
    <row r="55" spans="6:9" x14ac:dyDescent="0.25">
      <c r="F55" s="9" t="s">
        <v>47</v>
      </c>
      <c r="G55" s="11">
        <v>30000</v>
      </c>
    </row>
    <row r="56" spans="6:9" ht="15.75" thickBot="1" x14ac:dyDescent="0.3">
      <c r="F56" s="12" t="s">
        <v>46</v>
      </c>
      <c r="G56" s="13">
        <v>6000</v>
      </c>
      <c r="I56" t="s">
        <v>48</v>
      </c>
    </row>
    <row r="57" spans="6:9" ht="30.75" thickBot="1" x14ac:dyDescent="0.3">
      <c r="F57" s="14" t="s">
        <v>49</v>
      </c>
      <c r="G57" s="15">
        <f>SUM(G51:G56)</f>
        <v>1355040.75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2F9F-445F-4A81-A9B0-70F38E2A4DDD}">
  <dimension ref="A1:S97"/>
  <sheetViews>
    <sheetView tabSelected="1" topLeftCell="C1" zoomScaleNormal="100" workbookViewId="0">
      <pane ySplit="1" topLeftCell="A86" activePane="bottomLeft" state="frozen"/>
      <selection pane="bottomLeft" activeCell="H103" sqref="H103"/>
    </sheetView>
  </sheetViews>
  <sheetFormatPr defaultColWidth="9.140625" defaultRowHeight="15.75" x14ac:dyDescent="0.25"/>
  <cols>
    <col min="1" max="1" width="15" style="4" bestFit="1" customWidth="1"/>
    <col min="2" max="2" width="14.5703125" style="4" bestFit="1" customWidth="1"/>
    <col min="3" max="3" width="14.5703125" style="4" customWidth="1"/>
    <col min="4" max="4" width="41.140625" style="4" bestFit="1" customWidth="1"/>
    <col min="5" max="5" width="41.42578125" style="4" bestFit="1" customWidth="1"/>
    <col min="6" max="6" width="16.140625" style="4" customWidth="1"/>
    <col min="7" max="7" width="62.28515625" style="4" customWidth="1"/>
    <col min="8" max="8" width="33.140625" style="4" customWidth="1"/>
    <col min="9" max="9" width="29.28515625" style="4" bestFit="1" customWidth="1"/>
    <col min="10" max="10" width="72.7109375" style="4" customWidth="1"/>
    <col min="11" max="11" width="63.5703125" style="23" customWidth="1"/>
    <col min="12" max="12" width="16.28515625" style="23" customWidth="1"/>
    <col min="13" max="13" width="11.140625" style="4" bestFit="1" customWidth="1"/>
    <col min="14" max="14" width="13.28515625" style="4" bestFit="1" customWidth="1"/>
    <col min="15" max="15" width="9.140625" style="4"/>
    <col min="16" max="16" width="9.140625" style="4" customWidth="1"/>
    <col min="17" max="18" width="13.28515625" style="4" customWidth="1"/>
    <col min="19" max="16384" width="9.140625" style="4"/>
  </cols>
  <sheetData>
    <row r="1" spans="1:19" ht="15.95" customHeight="1" x14ac:dyDescent="0.25">
      <c r="A1" s="20" t="s">
        <v>4</v>
      </c>
      <c r="B1" s="20" t="s">
        <v>3</v>
      </c>
      <c r="C1" s="20" t="s">
        <v>746</v>
      </c>
      <c r="D1" s="20" t="s">
        <v>111</v>
      </c>
      <c r="E1" s="20" t="s">
        <v>789</v>
      </c>
      <c r="F1" s="20" t="s">
        <v>798</v>
      </c>
      <c r="G1" s="21" t="s">
        <v>52</v>
      </c>
      <c r="H1" s="21" t="s">
        <v>797</v>
      </c>
      <c r="I1" s="20" t="s">
        <v>84</v>
      </c>
      <c r="J1" s="20" t="s">
        <v>298</v>
      </c>
      <c r="K1" s="21" t="s">
        <v>459</v>
      </c>
      <c r="L1" s="21" t="s">
        <v>560</v>
      </c>
      <c r="M1" s="20" t="s">
        <v>476</v>
      </c>
      <c r="N1" s="20" t="s">
        <v>477</v>
      </c>
      <c r="O1" s="20" t="s">
        <v>631</v>
      </c>
      <c r="P1" s="20" t="s">
        <v>657</v>
      </c>
      <c r="Q1" s="20" t="s">
        <v>752</v>
      </c>
      <c r="R1" s="20" t="s">
        <v>753</v>
      </c>
      <c r="S1" s="4" t="s">
        <v>751</v>
      </c>
    </row>
    <row r="2" spans="1:19" ht="15.95" customHeight="1" x14ac:dyDescent="0.25">
      <c r="A2" s="4">
        <v>54</v>
      </c>
      <c r="B2" s="4">
        <v>1</v>
      </c>
      <c r="C2" s="4" t="s">
        <v>895</v>
      </c>
      <c r="D2" s="4" t="s">
        <v>458</v>
      </c>
      <c r="E2" s="4" t="s">
        <v>10</v>
      </c>
      <c r="F2" s="22">
        <v>6600</v>
      </c>
      <c r="G2" s="23" t="s">
        <v>53</v>
      </c>
      <c r="H2" s="23" t="s">
        <v>970</v>
      </c>
      <c r="I2" s="4" t="s">
        <v>85</v>
      </c>
      <c r="J2" s="23" t="s">
        <v>343</v>
      </c>
      <c r="M2" s="4" t="s">
        <v>521</v>
      </c>
      <c r="N2" s="4" t="s">
        <v>492</v>
      </c>
    </row>
    <row r="3" spans="1:19" ht="15.95" customHeight="1" x14ac:dyDescent="0.25">
      <c r="A3" s="4">
        <v>49</v>
      </c>
      <c r="B3" s="4">
        <v>2</v>
      </c>
      <c r="C3" s="4" t="s">
        <v>896</v>
      </c>
      <c r="D3" s="4" t="s">
        <v>458</v>
      </c>
      <c r="E3" s="4" t="s">
        <v>11</v>
      </c>
      <c r="F3" s="22">
        <v>11141</v>
      </c>
      <c r="G3" s="23" t="s">
        <v>54</v>
      </c>
      <c r="H3" s="23" t="s">
        <v>970</v>
      </c>
      <c r="I3" s="4" t="s">
        <v>86</v>
      </c>
      <c r="J3" s="23" t="s">
        <v>339</v>
      </c>
      <c r="M3" s="4" t="s">
        <v>518</v>
      </c>
      <c r="N3" s="4" t="s">
        <v>489</v>
      </c>
    </row>
    <row r="4" spans="1:19" ht="15.95" customHeight="1" x14ac:dyDescent="0.25">
      <c r="A4" s="4">
        <v>15</v>
      </c>
      <c r="B4" s="4">
        <v>3</v>
      </c>
      <c r="C4" s="4" t="s">
        <v>773</v>
      </c>
      <c r="D4" s="4" t="s">
        <v>458</v>
      </c>
      <c r="E4" s="4" t="s">
        <v>12</v>
      </c>
      <c r="F4" s="22">
        <v>14998</v>
      </c>
      <c r="G4" s="23" t="s">
        <v>55</v>
      </c>
      <c r="H4" s="23" t="s">
        <v>970</v>
      </c>
      <c r="I4" s="4" t="s">
        <v>87</v>
      </c>
      <c r="J4" s="23" t="s">
        <v>971</v>
      </c>
      <c r="M4" s="4" t="s">
        <v>530</v>
      </c>
      <c r="N4" s="4" t="s">
        <v>501</v>
      </c>
    </row>
    <row r="5" spans="1:19" ht="15.95" customHeight="1" x14ac:dyDescent="0.25">
      <c r="A5" s="4">
        <v>46</v>
      </c>
      <c r="B5" s="4">
        <v>4</v>
      </c>
      <c r="C5" s="4" t="s">
        <v>897</v>
      </c>
      <c r="D5" s="4" t="s">
        <v>458</v>
      </c>
      <c r="E5" s="4" t="s">
        <v>13</v>
      </c>
      <c r="F5" s="22">
        <v>133000</v>
      </c>
      <c r="G5" s="23" t="s">
        <v>56</v>
      </c>
      <c r="H5" s="23" t="s">
        <v>970</v>
      </c>
      <c r="I5" s="4" t="s">
        <v>633</v>
      </c>
      <c r="J5" s="23" t="s">
        <v>379</v>
      </c>
      <c r="M5" s="4">
        <v>34.110171000000001</v>
      </c>
      <c r="N5" s="4">
        <v>-105.12795699999999</v>
      </c>
      <c r="O5" s="4" t="s">
        <v>632</v>
      </c>
      <c r="P5" s="4" t="s">
        <v>749</v>
      </c>
    </row>
    <row r="6" spans="1:19" ht="15.95" customHeight="1" x14ac:dyDescent="0.25">
      <c r="A6" s="4">
        <v>51</v>
      </c>
      <c r="B6" s="4">
        <v>7</v>
      </c>
      <c r="C6" s="4" t="s">
        <v>898</v>
      </c>
      <c r="D6" s="4" t="s">
        <v>458</v>
      </c>
      <c r="E6" s="4" t="s">
        <v>14</v>
      </c>
      <c r="F6" s="22">
        <v>133000</v>
      </c>
      <c r="G6" s="23" t="s">
        <v>59</v>
      </c>
      <c r="H6" s="23" t="s">
        <v>970</v>
      </c>
      <c r="I6" s="4" t="s">
        <v>89</v>
      </c>
      <c r="J6" s="23" t="s">
        <v>341</v>
      </c>
      <c r="M6" s="4">
        <v>35.132590999999998</v>
      </c>
      <c r="N6" s="4">
        <v>-106.678066</v>
      </c>
      <c r="O6" s="4" t="s">
        <v>632</v>
      </c>
      <c r="P6" s="4" t="s">
        <v>748</v>
      </c>
    </row>
    <row r="7" spans="1:19" ht="15.95" customHeight="1" x14ac:dyDescent="0.25">
      <c r="A7" s="4">
        <v>56</v>
      </c>
      <c r="B7" s="4">
        <v>5</v>
      </c>
      <c r="C7" s="4" t="s">
        <v>899</v>
      </c>
      <c r="D7" s="4" t="s">
        <v>458</v>
      </c>
      <c r="E7" s="4" t="s">
        <v>14</v>
      </c>
      <c r="F7" s="22">
        <v>17267.939999999999</v>
      </c>
      <c r="G7" s="23" t="s">
        <v>57</v>
      </c>
      <c r="H7" s="23" t="s">
        <v>970</v>
      </c>
      <c r="I7" s="4" t="s">
        <v>89</v>
      </c>
      <c r="J7" s="23" t="s">
        <v>378</v>
      </c>
      <c r="M7" s="4" t="s">
        <v>509</v>
      </c>
      <c r="N7" s="4" t="s">
        <v>480</v>
      </c>
    </row>
    <row r="8" spans="1:19" ht="15.95" customHeight="1" x14ac:dyDescent="0.25">
      <c r="A8" s="4">
        <v>34</v>
      </c>
      <c r="B8" s="4">
        <v>6</v>
      </c>
      <c r="C8" s="4" t="s">
        <v>900</v>
      </c>
      <c r="D8" s="4" t="s">
        <v>458</v>
      </c>
      <c r="E8" s="4" t="s">
        <v>14</v>
      </c>
      <c r="F8" s="22">
        <v>25000</v>
      </c>
      <c r="G8" s="23" t="s">
        <v>972</v>
      </c>
      <c r="H8" s="23" t="s">
        <v>970</v>
      </c>
      <c r="I8" s="4" t="s">
        <v>89</v>
      </c>
      <c r="J8" s="23" t="s">
        <v>328</v>
      </c>
      <c r="M8" s="4" t="s">
        <v>509</v>
      </c>
      <c r="N8" s="4" t="s">
        <v>480</v>
      </c>
    </row>
    <row r="9" spans="1:19" ht="15.95" customHeight="1" x14ac:dyDescent="0.25">
      <c r="A9" s="4">
        <v>48</v>
      </c>
      <c r="B9" s="4">
        <v>8</v>
      </c>
      <c r="C9" s="4" t="s">
        <v>901</v>
      </c>
      <c r="D9" s="4" t="s">
        <v>458</v>
      </c>
      <c r="E9" s="4" t="s">
        <v>15</v>
      </c>
      <c r="F9" s="22">
        <v>18180</v>
      </c>
      <c r="G9" s="23" t="s">
        <v>60</v>
      </c>
      <c r="H9" s="23" t="s">
        <v>970</v>
      </c>
      <c r="I9" s="4" t="s">
        <v>90</v>
      </c>
      <c r="J9" s="23" t="s">
        <v>338</v>
      </c>
      <c r="M9" s="4" t="s">
        <v>517</v>
      </c>
      <c r="N9" s="4" t="s">
        <v>488</v>
      </c>
    </row>
    <row r="10" spans="1:19" ht="15.95" customHeight="1" x14ac:dyDescent="0.25">
      <c r="A10" s="4">
        <v>37</v>
      </c>
      <c r="B10" s="4">
        <v>9</v>
      </c>
      <c r="C10" s="4" t="s">
        <v>772</v>
      </c>
      <c r="D10" s="4" t="s">
        <v>458</v>
      </c>
      <c r="E10" s="4" t="s">
        <v>16</v>
      </c>
      <c r="F10" s="22">
        <v>5382.52</v>
      </c>
      <c r="G10" s="23" t="s">
        <v>61</v>
      </c>
      <c r="H10" s="23" t="s">
        <v>970</v>
      </c>
      <c r="I10" s="4" t="s">
        <v>98</v>
      </c>
      <c r="J10" s="23" t="s">
        <v>331</v>
      </c>
      <c r="M10" s="4" t="s">
        <v>511</v>
      </c>
      <c r="N10" s="4" t="s">
        <v>482</v>
      </c>
    </row>
    <row r="11" spans="1:19" ht="15.95" customHeight="1" x14ac:dyDescent="0.25">
      <c r="A11" s="4">
        <v>19</v>
      </c>
      <c r="B11" s="4">
        <v>10</v>
      </c>
      <c r="C11" s="4" t="s">
        <v>902</v>
      </c>
      <c r="D11" s="4" t="s">
        <v>458</v>
      </c>
      <c r="E11" s="4" t="s">
        <v>17</v>
      </c>
      <c r="F11" s="22">
        <v>20000</v>
      </c>
      <c r="G11" s="23" t="s">
        <v>62</v>
      </c>
      <c r="H11" s="23" t="s">
        <v>970</v>
      </c>
      <c r="I11" s="4" t="s">
        <v>99</v>
      </c>
      <c r="J11" s="23" t="s">
        <v>364</v>
      </c>
      <c r="M11" s="4" t="s">
        <v>532</v>
      </c>
      <c r="N11" s="4" t="s">
        <v>503</v>
      </c>
    </row>
    <row r="12" spans="1:19" ht="15.95" customHeight="1" x14ac:dyDescent="0.25">
      <c r="A12" s="4">
        <v>25</v>
      </c>
      <c r="B12" s="4">
        <v>11</v>
      </c>
      <c r="C12" s="4" t="s">
        <v>777</v>
      </c>
      <c r="D12" s="4" t="s">
        <v>458</v>
      </c>
      <c r="E12" s="4" t="s">
        <v>101</v>
      </c>
      <c r="F12" s="22">
        <v>24475</v>
      </c>
      <c r="G12" s="23" t="s">
        <v>63</v>
      </c>
      <c r="H12" s="23" t="s">
        <v>970</v>
      </c>
      <c r="I12" s="4" t="s">
        <v>91</v>
      </c>
      <c r="J12" s="23" t="s">
        <v>973</v>
      </c>
      <c r="M12" s="4" t="s">
        <v>513</v>
      </c>
      <c r="N12" s="4" t="s">
        <v>484</v>
      </c>
    </row>
    <row r="13" spans="1:19" ht="15.95" customHeight="1" x14ac:dyDescent="0.25">
      <c r="A13" s="4">
        <v>31</v>
      </c>
      <c r="B13" s="4">
        <v>12</v>
      </c>
      <c r="C13" s="4" t="s">
        <v>774</v>
      </c>
      <c r="D13" s="4" t="s">
        <v>458</v>
      </c>
      <c r="E13" s="4" t="s">
        <v>18</v>
      </c>
      <c r="F13" s="22">
        <v>7030</v>
      </c>
      <c r="G13" s="23" t="s">
        <v>64</v>
      </c>
      <c r="H13" s="23" t="s">
        <v>970</v>
      </c>
      <c r="I13" s="4" t="s">
        <v>102</v>
      </c>
      <c r="J13" s="23" t="s">
        <v>375</v>
      </c>
      <c r="M13" s="4" t="s">
        <v>531</v>
      </c>
      <c r="N13" s="4" t="s">
        <v>502</v>
      </c>
      <c r="S13"/>
    </row>
    <row r="14" spans="1:19" ht="15.95" customHeight="1" x14ac:dyDescent="0.25">
      <c r="A14" s="4">
        <v>17</v>
      </c>
      <c r="B14" s="4">
        <v>13</v>
      </c>
      <c r="C14" s="4" t="s">
        <v>780</v>
      </c>
      <c r="D14" s="4" t="s">
        <v>458</v>
      </c>
      <c r="E14" s="4" t="s">
        <v>18</v>
      </c>
      <c r="F14" s="22">
        <v>20492.830000000002</v>
      </c>
      <c r="G14" s="23" t="s">
        <v>974</v>
      </c>
      <c r="H14" s="23" t="s">
        <v>970</v>
      </c>
      <c r="I14" s="4" t="s">
        <v>102</v>
      </c>
      <c r="J14" s="23" t="s">
        <v>975</v>
      </c>
      <c r="M14" s="4" t="s">
        <v>531</v>
      </c>
      <c r="N14" s="4" t="s">
        <v>502</v>
      </c>
    </row>
    <row r="15" spans="1:19" ht="15.95" customHeight="1" x14ac:dyDescent="0.25">
      <c r="A15" s="4">
        <v>30</v>
      </c>
      <c r="B15" s="4">
        <v>14</v>
      </c>
      <c r="C15" s="4" t="s">
        <v>903</v>
      </c>
      <c r="D15" s="4" t="s">
        <v>458</v>
      </c>
      <c r="E15" s="4" t="s">
        <v>19</v>
      </c>
      <c r="F15" s="22">
        <v>17215</v>
      </c>
      <c r="G15" s="23" t="s">
        <v>66</v>
      </c>
      <c r="H15" s="23" t="s">
        <v>970</v>
      </c>
      <c r="I15" s="4" t="s">
        <v>92</v>
      </c>
      <c r="J15" s="23" t="s">
        <v>374</v>
      </c>
      <c r="M15" s="4" t="s">
        <v>534</v>
      </c>
      <c r="N15" s="4" t="s">
        <v>505</v>
      </c>
    </row>
    <row r="16" spans="1:19" ht="15.95" customHeight="1" x14ac:dyDescent="0.25">
      <c r="A16" s="4">
        <v>6</v>
      </c>
      <c r="B16" s="4">
        <v>15</v>
      </c>
      <c r="C16" s="4" t="s">
        <v>769</v>
      </c>
      <c r="D16" s="4" t="s">
        <v>458</v>
      </c>
      <c r="E16" s="4" t="s">
        <v>20</v>
      </c>
      <c r="F16" s="22">
        <v>21120</v>
      </c>
      <c r="G16" s="23" t="s">
        <v>67</v>
      </c>
      <c r="H16" s="23" t="s">
        <v>970</v>
      </c>
      <c r="I16" s="4" t="s">
        <v>103</v>
      </c>
      <c r="J16" s="23" t="s">
        <v>976</v>
      </c>
      <c r="M16" s="4">
        <v>34.145989999999998</v>
      </c>
      <c r="N16" s="4">
        <v>-107.84523</v>
      </c>
    </row>
    <row r="17" spans="1:16" ht="15.95" customHeight="1" x14ac:dyDescent="0.25">
      <c r="A17" s="4">
        <v>18</v>
      </c>
      <c r="B17" s="4">
        <v>16</v>
      </c>
      <c r="C17" s="4" t="s">
        <v>781</v>
      </c>
      <c r="D17" s="4" t="s">
        <v>458</v>
      </c>
      <c r="E17" s="4" t="s">
        <v>21</v>
      </c>
      <c r="F17" s="22">
        <v>13600</v>
      </c>
      <c r="G17" s="23" t="s">
        <v>68</v>
      </c>
      <c r="H17" s="23" t="s">
        <v>970</v>
      </c>
      <c r="I17" s="4" t="s">
        <v>93</v>
      </c>
      <c r="J17" s="23" t="s">
        <v>977</v>
      </c>
      <c r="M17" s="4" t="s">
        <v>523</v>
      </c>
      <c r="N17" s="4" t="s">
        <v>494</v>
      </c>
    </row>
    <row r="18" spans="1:16" ht="15.95" customHeight="1" x14ac:dyDescent="0.25">
      <c r="A18" s="4">
        <v>5</v>
      </c>
      <c r="B18" s="4">
        <v>17</v>
      </c>
      <c r="C18" s="4" t="s">
        <v>904</v>
      </c>
      <c r="D18" s="4" t="s">
        <v>458</v>
      </c>
      <c r="E18" s="4" t="s">
        <v>22</v>
      </c>
      <c r="F18" s="22">
        <v>21120</v>
      </c>
      <c r="G18" s="23" t="s">
        <v>69</v>
      </c>
      <c r="H18" s="23" t="s">
        <v>970</v>
      </c>
      <c r="I18" s="4" t="s">
        <v>104</v>
      </c>
      <c r="J18" s="23" t="s">
        <v>978</v>
      </c>
      <c r="M18" s="4" t="s">
        <v>526</v>
      </c>
      <c r="N18" s="4" t="s">
        <v>497</v>
      </c>
    </row>
    <row r="19" spans="1:16" ht="15.95" customHeight="1" x14ac:dyDescent="0.25">
      <c r="A19" s="4">
        <v>52</v>
      </c>
      <c r="B19" s="4">
        <v>18</v>
      </c>
      <c r="C19" s="4" t="s">
        <v>905</v>
      </c>
      <c r="D19" s="4" t="s">
        <v>458</v>
      </c>
      <c r="E19" s="4" t="s">
        <v>23</v>
      </c>
      <c r="F19" s="22">
        <v>15000</v>
      </c>
      <c r="G19" s="23" t="s">
        <v>70</v>
      </c>
      <c r="H19" s="23" t="s">
        <v>970</v>
      </c>
      <c r="I19" s="4" t="s">
        <v>105</v>
      </c>
      <c r="J19" s="23" t="s">
        <v>342</v>
      </c>
      <c r="M19" s="4" t="s">
        <v>520</v>
      </c>
      <c r="N19" s="4" t="s">
        <v>491</v>
      </c>
    </row>
    <row r="20" spans="1:16" ht="15.95" customHeight="1" x14ac:dyDescent="0.25">
      <c r="A20" s="4">
        <v>2</v>
      </c>
      <c r="B20" s="4">
        <v>19</v>
      </c>
      <c r="C20" s="4" t="s">
        <v>768</v>
      </c>
      <c r="D20" s="4" t="s">
        <v>458</v>
      </c>
      <c r="E20" s="4" t="s">
        <v>131</v>
      </c>
      <c r="F20" s="22">
        <v>20000</v>
      </c>
      <c r="G20" s="23" t="s">
        <v>71</v>
      </c>
      <c r="H20" s="23" t="s">
        <v>970</v>
      </c>
      <c r="I20" s="4" t="s">
        <v>107</v>
      </c>
      <c r="J20" s="23" t="s">
        <v>347</v>
      </c>
      <c r="M20" s="4" t="s">
        <v>524</v>
      </c>
      <c r="N20" s="4" t="s">
        <v>495</v>
      </c>
    </row>
    <row r="21" spans="1:16" ht="15.95" customHeight="1" x14ac:dyDescent="0.25">
      <c r="A21" s="4">
        <v>29</v>
      </c>
      <c r="B21" s="4">
        <v>21</v>
      </c>
      <c r="C21" s="4" t="s">
        <v>770</v>
      </c>
      <c r="D21" s="4" t="s">
        <v>458</v>
      </c>
      <c r="E21" s="4" t="s">
        <v>25</v>
      </c>
      <c r="F21" s="22">
        <v>75000</v>
      </c>
      <c r="G21" s="23" t="s">
        <v>73</v>
      </c>
      <c r="H21" s="23" t="s">
        <v>970</v>
      </c>
      <c r="I21" s="4" t="s">
        <v>95</v>
      </c>
      <c r="J21" s="23" t="s">
        <v>373</v>
      </c>
      <c r="M21" s="4">
        <v>34.158861999999999</v>
      </c>
      <c r="N21" s="4">
        <v>-106.889059</v>
      </c>
      <c r="O21" s="4" t="s">
        <v>632</v>
      </c>
      <c r="P21" s="4" t="s">
        <v>748</v>
      </c>
    </row>
    <row r="22" spans="1:16" ht="15.95" customHeight="1" x14ac:dyDescent="0.25">
      <c r="A22" s="4">
        <v>33</v>
      </c>
      <c r="B22" s="4">
        <v>20</v>
      </c>
      <c r="C22" s="4" t="s">
        <v>776</v>
      </c>
      <c r="D22" s="4" t="s">
        <v>458</v>
      </c>
      <c r="E22" s="4" t="s">
        <v>25</v>
      </c>
      <c r="F22" s="22">
        <v>19662.8</v>
      </c>
      <c r="G22" s="23" t="s">
        <v>72</v>
      </c>
      <c r="H22" s="23" t="s">
        <v>970</v>
      </c>
      <c r="I22" s="4" t="s">
        <v>95</v>
      </c>
      <c r="J22" s="23" t="s">
        <v>327</v>
      </c>
      <c r="M22" s="4" t="s">
        <v>508</v>
      </c>
      <c r="N22" s="4" t="s">
        <v>479</v>
      </c>
    </row>
    <row r="23" spans="1:16" ht="15.95" customHeight="1" x14ac:dyDescent="0.25">
      <c r="A23" s="4">
        <v>44</v>
      </c>
      <c r="B23" s="4">
        <v>22</v>
      </c>
      <c r="C23" s="4" t="s">
        <v>906</v>
      </c>
      <c r="D23" s="4" t="s">
        <v>458</v>
      </c>
      <c r="E23" s="4" t="s">
        <v>130</v>
      </c>
      <c r="F23" s="22">
        <v>75659</v>
      </c>
      <c r="G23" s="23" t="s">
        <v>74</v>
      </c>
      <c r="H23" s="23" t="s">
        <v>970</v>
      </c>
      <c r="I23" s="4" t="s">
        <v>100</v>
      </c>
      <c r="J23" s="23" t="s">
        <v>326</v>
      </c>
      <c r="M23" s="4" t="s">
        <v>507</v>
      </c>
      <c r="N23" s="4" t="s">
        <v>478</v>
      </c>
    </row>
    <row r="24" spans="1:16" ht="15.95" customHeight="1" x14ac:dyDescent="0.25">
      <c r="A24" s="4">
        <v>57</v>
      </c>
      <c r="B24" s="4">
        <v>23</v>
      </c>
      <c r="C24" s="4" t="s">
        <v>907</v>
      </c>
      <c r="D24" s="4" t="s">
        <v>458</v>
      </c>
      <c r="E24" s="4" t="s">
        <v>27</v>
      </c>
      <c r="F24" s="22">
        <v>18177</v>
      </c>
      <c r="G24" s="23" t="s">
        <v>75</v>
      </c>
      <c r="H24" s="23" t="s">
        <v>970</v>
      </c>
      <c r="I24" s="4" t="s">
        <v>96</v>
      </c>
      <c r="J24" s="23" t="s">
        <v>345</v>
      </c>
      <c r="M24" s="4" t="s">
        <v>510</v>
      </c>
      <c r="N24" s="4" t="s">
        <v>481</v>
      </c>
    </row>
    <row r="25" spans="1:16" ht="15.95" customHeight="1" x14ac:dyDescent="0.25">
      <c r="A25" s="4">
        <v>32</v>
      </c>
      <c r="B25" s="4">
        <v>24</v>
      </c>
      <c r="C25" s="4" t="s">
        <v>775</v>
      </c>
      <c r="D25" s="4" t="s">
        <v>458</v>
      </c>
      <c r="E25" s="4" t="s">
        <v>27</v>
      </c>
      <c r="F25" s="22">
        <v>15000</v>
      </c>
      <c r="G25" s="23" t="s">
        <v>76</v>
      </c>
      <c r="H25" s="23" t="s">
        <v>970</v>
      </c>
      <c r="I25" s="4" t="s">
        <v>96</v>
      </c>
      <c r="J25" s="23" t="s">
        <v>376</v>
      </c>
      <c r="M25" s="4" t="s">
        <v>510</v>
      </c>
      <c r="N25" s="4" t="s">
        <v>481</v>
      </c>
    </row>
    <row r="26" spans="1:16" ht="15.95" customHeight="1" x14ac:dyDescent="0.25">
      <c r="A26" s="4">
        <v>36</v>
      </c>
      <c r="B26" s="4">
        <v>25</v>
      </c>
      <c r="C26" s="4" t="s">
        <v>771</v>
      </c>
      <c r="D26" s="4" t="s">
        <v>458</v>
      </c>
      <c r="E26" s="4" t="s">
        <v>27</v>
      </c>
      <c r="F26" s="22">
        <v>59983</v>
      </c>
      <c r="G26" s="23" t="s">
        <v>77</v>
      </c>
      <c r="H26" s="23" t="s">
        <v>970</v>
      </c>
      <c r="I26" s="4" t="s">
        <v>96</v>
      </c>
      <c r="J26" s="23" t="s">
        <v>330</v>
      </c>
      <c r="M26" s="4" t="s">
        <v>510</v>
      </c>
      <c r="N26" s="4" t="s">
        <v>481</v>
      </c>
    </row>
    <row r="27" spans="1:16" ht="15.95" customHeight="1" x14ac:dyDescent="0.25">
      <c r="A27" s="4">
        <v>50</v>
      </c>
      <c r="B27" s="4">
        <v>26</v>
      </c>
      <c r="C27" s="4" t="s">
        <v>908</v>
      </c>
      <c r="D27" s="4" t="s">
        <v>458</v>
      </c>
      <c r="E27" s="4" t="s">
        <v>28</v>
      </c>
      <c r="F27" s="22">
        <v>14753.24</v>
      </c>
      <c r="G27" s="23" t="s">
        <v>78</v>
      </c>
      <c r="H27" s="23" t="s">
        <v>970</v>
      </c>
      <c r="I27" s="4" t="s">
        <v>108</v>
      </c>
      <c r="J27" s="23" t="s">
        <v>340</v>
      </c>
      <c r="M27" s="4" t="s">
        <v>519</v>
      </c>
      <c r="N27" s="4" t="s">
        <v>490</v>
      </c>
    </row>
    <row r="28" spans="1:16" ht="15.95" customHeight="1" x14ac:dyDescent="0.25">
      <c r="A28" s="4">
        <v>43</v>
      </c>
      <c r="B28" s="4">
        <v>27</v>
      </c>
      <c r="C28" s="4" t="s">
        <v>909</v>
      </c>
      <c r="D28" s="4" t="s">
        <v>458</v>
      </c>
      <c r="E28" s="4" t="s">
        <v>2</v>
      </c>
      <c r="F28" s="22">
        <v>138812</v>
      </c>
      <c r="G28" s="23" t="s">
        <v>79</v>
      </c>
      <c r="H28" s="23" t="s">
        <v>987</v>
      </c>
      <c r="I28" s="4" t="s">
        <v>111</v>
      </c>
      <c r="J28" s="23" t="s">
        <v>325</v>
      </c>
      <c r="M28" s="4">
        <v>33.004001000000002</v>
      </c>
      <c r="N28" s="4">
        <v>-108.530541</v>
      </c>
      <c r="O28" s="4" t="s">
        <v>632</v>
      </c>
      <c r="P28" s="4" t="s">
        <v>747</v>
      </c>
    </row>
    <row r="29" spans="1:16" ht="15.95" customHeight="1" x14ac:dyDescent="0.25">
      <c r="A29" s="4">
        <v>27</v>
      </c>
      <c r="B29" s="4">
        <v>28</v>
      </c>
      <c r="C29" s="4" t="s">
        <v>778</v>
      </c>
      <c r="D29" s="4" t="s">
        <v>458</v>
      </c>
      <c r="E29" s="4" t="s">
        <v>29</v>
      </c>
      <c r="F29" s="22">
        <v>14921.5</v>
      </c>
      <c r="G29" s="23" t="s">
        <v>80</v>
      </c>
      <c r="H29" s="23" t="s">
        <v>970</v>
      </c>
      <c r="I29" s="4" t="s">
        <v>109</v>
      </c>
      <c r="J29" s="23" t="s">
        <v>371</v>
      </c>
      <c r="M29" s="4" t="s">
        <v>527</v>
      </c>
      <c r="N29" s="4" t="s">
        <v>498</v>
      </c>
    </row>
    <row r="30" spans="1:16" ht="15.95" customHeight="1" x14ac:dyDescent="0.25">
      <c r="A30" s="4">
        <v>28</v>
      </c>
      <c r="B30" s="4">
        <v>29</v>
      </c>
      <c r="C30" s="4" t="s">
        <v>779</v>
      </c>
      <c r="D30" s="4" t="s">
        <v>458</v>
      </c>
      <c r="E30" s="4" t="s">
        <v>29</v>
      </c>
      <c r="F30" s="22">
        <v>24530</v>
      </c>
      <c r="G30" s="23" t="s">
        <v>81</v>
      </c>
      <c r="H30" s="23" t="s">
        <v>970</v>
      </c>
      <c r="I30" s="4" t="s">
        <v>109</v>
      </c>
      <c r="J30" s="23" t="s">
        <v>372</v>
      </c>
      <c r="M30" s="4" t="s">
        <v>527</v>
      </c>
      <c r="N30" s="4" t="s">
        <v>498</v>
      </c>
    </row>
    <row r="31" spans="1:16" ht="15.95" customHeight="1" x14ac:dyDescent="0.25">
      <c r="A31" s="4">
        <v>38</v>
      </c>
      <c r="B31" s="4">
        <v>30</v>
      </c>
      <c r="C31" s="4" t="s">
        <v>910</v>
      </c>
      <c r="D31" s="4" t="s">
        <v>458</v>
      </c>
      <c r="E31" s="4" t="s">
        <v>30</v>
      </c>
      <c r="F31" s="22">
        <v>18003</v>
      </c>
      <c r="G31" s="23" t="s">
        <v>82</v>
      </c>
      <c r="H31" s="23" t="s">
        <v>970</v>
      </c>
      <c r="I31" s="4" t="s">
        <v>110</v>
      </c>
      <c r="J31" s="23" t="s">
        <v>332</v>
      </c>
      <c r="M31" s="4" t="s">
        <v>512</v>
      </c>
      <c r="N31" s="4" t="s">
        <v>483</v>
      </c>
    </row>
    <row r="32" spans="1:16" ht="15.95" customHeight="1" x14ac:dyDescent="0.25">
      <c r="A32" s="4">
        <v>39</v>
      </c>
      <c r="B32" s="4">
        <v>31</v>
      </c>
      <c r="C32" s="4" t="s">
        <v>911</v>
      </c>
      <c r="D32" s="4" t="s">
        <v>458</v>
      </c>
      <c r="E32" s="4" t="s">
        <v>30</v>
      </c>
      <c r="F32" s="22">
        <v>19822.169999999998</v>
      </c>
      <c r="G32" s="23" t="s">
        <v>979</v>
      </c>
      <c r="H32" s="23" t="s">
        <v>970</v>
      </c>
      <c r="I32" s="4" t="s">
        <v>110</v>
      </c>
      <c r="J32" s="23" t="s">
        <v>333</v>
      </c>
      <c r="M32" s="4" t="s">
        <v>512</v>
      </c>
      <c r="N32" s="4" t="s">
        <v>483</v>
      </c>
    </row>
    <row r="33" spans="1:19" ht="15.95" customHeight="1" x14ac:dyDescent="0.25">
      <c r="A33" s="4">
        <v>9</v>
      </c>
      <c r="B33" s="4">
        <v>1</v>
      </c>
      <c r="C33" s="4" t="s">
        <v>912</v>
      </c>
      <c r="D33" s="4" t="s">
        <v>134</v>
      </c>
      <c r="E33" s="4" t="s">
        <v>132</v>
      </c>
      <c r="F33" s="22">
        <v>25985.47</v>
      </c>
      <c r="G33" s="23" t="s">
        <v>407</v>
      </c>
      <c r="H33" s="23" t="s">
        <v>970</v>
      </c>
      <c r="I33" s="4" t="s">
        <v>384</v>
      </c>
      <c r="J33" s="23" t="s">
        <v>389</v>
      </c>
      <c r="K33" s="4" t="s">
        <v>647</v>
      </c>
      <c r="L33"/>
      <c r="M33">
        <v>32.694091999999998</v>
      </c>
      <c r="N33" s="4">
        <v>-107.19772500000001</v>
      </c>
      <c r="P33" t="s">
        <v>750</v>
      </c>
      <c r="Q33">
        <v>32.694091999999998</v>
      </c>
      <c r="R33" s="4">
        <v>-107.19772500000001</v>
      </c>
      <c r="S33" t="s">
        <v>750</v>
      </c>
    </row>
    <row r="34" spans="1:19" ht="15.95" customHeight="1" x14ac:dyDescent="0.25">
      <c r="A34" s="4">
        <v>14</v>
      </c>
      <c r="B34" s="4">
        <v>2</v>
      </c>
      <c r="C34" s="4" t="s">
        <v>913</v>
      </c>
      <c r="D34" s="4" t="s">
        <v>134</v>
      </c>
      <c r="E34" s="4" t="s">
        <v>13</v>
      </c>
      <c r="F34" s="22">
        <v>114994.22</v>
      </c>
      <c r="G34" s="23" t="s">
        <v>420</v>
      </c>
      <c r="H34" s="23" t="s">
        <v>970</v>
      </c>
      <c r="I34" s="4" t="s">
        <v>126</v>
      </c>
      <c r="J34" s="23" t="s">
        <v>402</v>
      </c>
      <c r="K34" s="23" t="s">
        <v>649</v>
      </c>
      <c r="L34"/>
      <c r="M34" s="4">
        <v>33.423889000000003</v>
      </c>
      <c r="N34" s="4">
        <v>-104.49333300000001</v>
      </c>
      <c r="P34" t="s">
        <v>683</v>
      </c>
      <c r="Q34" s="4">
        <v>33.423889000000003</v>
      </c>
      <c r="R34" s="4">
        <v>-104.49333300000001</v>
      </c>
      <c r="S34" s="4" t="s">
        <v>758</v>
      </c>
    </row>
    <row r="35" spans="1:19" ht="15.95" customHeight="1" x14ac:dyDescent="0.25">
      <c r="A35" s="4">
        <v>17</v>
      </c>
      <c r="B35" s="4">
        <v>3</v>
      </c>
      <c r="C35" s="4" t="s">
        <v>914</v>
      </c>
      <c r="D35" s="4" t="s">
        <v>134</v>
      </c>
      <c r="E35" s="4" t="s">
        <v>14</v>
      </c>
      <c r="F35" s="22">
        <v>71128.33</v>
      </c>
      <c r="G35" s="23" t="s">
        <v>423</v>
      </c>
      <c r="H35" s="23" t="s">
        <v>970</v>
      </c>
      <c r="I35" s="4" t="s">
        <v>387</v>
      </c>
      <c r="J35" s="23" t="s">
        <v>405</v>
      </c>
      <c r="K35" s="23" t="s">
        <v>648</v>
      </c>
      <c r="L35"/>
      <c r="M35" s="4">
        <v>35.131925000000003</v>
      </c>
      <c r="N35" s="4">
        <v>-106.678287</v>
      </c>
      <c r="P35" t="s">
        <v>684</v>
      </c>
      <c r="Q35" s="4">
        <v>35.131925000000003</v>
      </c>
      <c r="R35" s="4">
        <v>-106.678287</v>
      </c>
      <c r="S35" s="4" t="s">
        <v>757</v>
      </c>
    </row>
    <row r="36" spans="1:19" ht="15.95" customHeight="1" x14ac:dyDescent="0.25">
      <c r="A36" s="4">
        <v>18</v>
      </c>
      <c r="B36" s="4">
        <v>4</v>
      </c>
      <c r="C36" s="4" t="s">
        <v>915</v>
      </c>
      <c r="D36" s="4" t="s">
        <v>134</v>
      </c>
      <c r="E36" s="4" t="s">
        <v>14</v>
      </c>
      <c r="F36" s="22">
        <v>31991.51</v>
      </c>
      <c r="G36" s="23" t="s">
        <v>424</v>
      </c>
      <c r="H36" s="23" t="s">
        <v>970</v>
      </c>
      <c r="I36" s="4" t="s">
        <v>387</v>
      </c>
      <c r="J36" s="23" t="s">
        <v>406</v>
      </c>
      <c r="M36" s="4" t="s">
        <v>553</v>
      </c>
      <c r="N36" s="4" t="s">
        <v>545</v>
      </c>
    </row>
    <row r="37" spans="1:19" ht="15.95" customHeight="1" x14ac:dyDescent="0.25">
      <c r="A37" s="4">
        <v>8</v>
      </c>
      <c r="B37" s="4">
        <v>5</v>
      </c>
      <c r="C37" s="4" t="s">
        <v>916</v>
      </c>
      <c r="D37" s="4" t="s">
        <v>134</v>
      </c>
      <c r="E37" s="25" t="s">
        <v>767</v>
      </c>
      <c r="F37" s="22">
        <v>31885.53</v>
      </c>
      <c r="G37" s="23" t="s">
        <v>409</v>
      </c>
      <c r="H37" s="23" t="s">
        <v>970</v>
      </c>
      <c r="I37" s="4" t="s">
        <v>384</v>
      </c>
      <c r="J37" s="23" t="s">
        <v>391</v>
      </c>
      <c r="K37" s="23" t="s">
        <v>637</v>
      </c>
      <c r="L37"/>
      <c r="M37">
        <v>32.286951999999999</v>
      </c>
      <c r="N37" s="4">
        <v>-106.786706</v>
      </c>
      <c r="P37" t="s">
        <v>685</v>
      </c>
      <c r="Q37">
        <v>32.286951999999999</v>
      </c>
      <c r="R37" s="4">
        <v>-106.786706</v>
      </c>
    </row>
    <row r="38" spans="1:19" ht="15.95" customHeight="1" x14ac:dyDescent="0.25">
      <c r="A38" s="4">
        <v>4</v>
      </c>
      <c r="B38" s="4">
        <v>6</v>
      </c>
      <c r="C38" s="4" t="s">
        <v>917</v>
      </c>
      <c r="D38" s="4" t="s">
        <v>134</v>
      </c>
      <c r="E38" s="4" t="s">
        <v>17</v>
      </c>
      <c r="F38" s="22">
        <v>53581.3</v>
      </c>
      <c r="G38" s="23" t="s">
        <v>413</v>
      </c>
      <c r="H38" s="23" t="s">
        <v>970</v>
      </c>
      <c r="I38" s="4" t="s">
        <v>99</v>
      </c>
      <c r="J38" s="23" t="s">
        <v>395</v>
      </c>
      <c r="M38" s="4" t="s">
        <v>532</v>
      </c>
      <c r="N38" s="4" t="s">
        <v>503</v>
      </c>
    </row>
    <row r="39" spans="1:19" ht="15.95" customHeight="1" x14ac:dyDescent="0.25">
      <c r="A39" s="4">
        <v>2</v>
      </c>
      <c r="B39" s="4">
        <v>7</v>
      </c>
      <c r="C39" s="4" t="s">
        <v>918</v>
      </c>
      <c r="D39" s="4" t="s">
        <v>134</v>
      </c>
      <c r="E39" s="4" t="s">
        <v>101</v>
      </c>
      <c r="F39" s="22">
        <v>104208.4</v>
      </c>
      <c r="G39" s="23" t="s">
        <v>980</v>
      </c>
      <c r="H39" s="23" t="s">
        <v>970</v>
      </c>
      <c r="I39" s="4" t="s">
        <v>91</v>
      </c>
      <c r="J39" s="23" t="s">
        <v>393</v>
      </c>
      <c r="K39" s="23" t="s">
        <v>651</v>
      </c>
      <c r="L39"/>
      <c r="M39" s="4">
        <v>34.938304000000002</v>
      </c>
      <c r="N39" s="4">
        <v>-104.68090100000001</v>
      </c>
      <c r="P39" t="s">
        <v>686</v>
      </c>
      <c r="Q39" s="4">
        <v>34.938304000000002</v>
      </c>
      <c r="R39" s="4">
        <v>-104.68090100000001</v>
      </c>
      <c r="S39" s="4" t="s">
        <v>756</v>
      </c>
    </row>
    <row r="40" spans="1:19" ht="15.95" customHeight="1" x14ac:dyDescent="0.25">
      <c r="A40" s="4">
        <v>1</v>
      </c>
      <c r="B40" s="4">
        <v>8</v>
      </c>
      <c r="C40" s="4" t="s">
        <v>919</v>
      </c>
      <c r="D40" s="4" t="s">
        <v>134</v>
      </c>
      <c r="E40" s="23" t="s">
        <v>427</v>
      </c>
      <c r="F40" s="22">
        <v>94997.759999999995</v>
      </c>
      <c r="G40" s="23" t="s">
        <v>410</v>
      </c>
      <c r="H40" s="23" t="s">
        <v>792</v>
      </c>
      <c r="I40" s="4" t="s">
        <v>100</v>
      </c>
      <c r="J40" s="23" t="s">
        <v>392</v>
      </c>
      <c r="M40" s="4" t="s">
        <v>547</v>
      </c>
      <c r="N40" s="4" t="s">
        <v>539</v>
      </c>
    </row>
    <row r="41" spans="1:19" ht="15.95" customHeight="1" x14ac:dyDescent="0.25">
      <c r="A41" s="4">
        <v>3</v>
      </c>
      <c r="B41" s="4">
        <v>9</v>
      </c>
      <c r="C41" s="4" t="s">
        <v>920</v>
      </c>
      <c r="D41" s="4" t="s">
        <v>134</v>
      </c>
      <c r="E41" s="4" t="s">
        <v>18</v>
      </c>
      <c r="F41" s="22">
        <v>84099</v>
      </c>
      <c r="G41" s="23" t="s">
        <v>412</v>
      </c>
      <c r="H41" s="23" t="s">
        <v>970</v>
      </c>
      <c r="I41" s="4" t="s">
        <v>102</v>
      </c>
      <c r="J41" s="23" t="s">
        <v>394</v>
      </c>
      <c r="M41" s="4" t="s">
        <v>531</v>
      </c>
      <c r="N41" s="4" t="s">
        <v>502</v>
      </c>
    </row>
    <row r="42" spans="1:19" ht="15.95" customHeight="1" x14ac:dyDescent="0.25">
      <c r="A42" s="4">
        <v>10</v>
      </c>
      <c r="B42" s="4">
        <v>10</v>
      </c>
      <c r="C42" s="4" t="s">
        <v>921</v>
      </c>
      <c r="D42" s="4" t="s">
        <v>134</v>
      </c>
      <c r="E42" s="4" t="s">
        <v>434</v>
      </c>
      <c r="F42" s="22">
        <v>28795.85</v>
      </c>
      <c r="G42" s="23" t="s">
        <v>416</v>
      </c>
      <c r="H42" t="s">
        <v>985</v>
      </c>
      <c r="I42" s="4" t="s">
        <v>96</v>
      </c>
      <c r="J42" s="23" t="s">
        <v>398</v>
      </c>
      <c r="M42" s="4" t="s">
        <v>550</v>
      </c>
      <c r="N42" s="4" t="s">
        <v>542</v>
      </c>
    </row>
    <row r="43" spans="1:19" ht="15.95" customHeight="1" x14ac:dyDescent="0.25">
      <c r="A43" s="4">
        <v>15</v>
      </c>
      <c r="B43" s="4">
        <v>11</v>
      </c>
      <c r="C43" s="4" t="s">
        <v>922</v>
      </c>
      <c r="D43" s="4" t="s">
        <v>134</v>
      </c>
      <c r="E43" s="4" t="s">
        <v>130</v>
      </c>
      <c r="F43" s="22">
        <v>65796</v>
      </c>
      <c r="G43" s="23" t="s">
        <v>421</v>
      </c>
      <c r="H43" s="23" t="s">
        <v>970</v>
      </c>
      <c r="I43" s="4" t="s">
        <v>100</v>
      </c>
      <c r="J43" s="23" t="s">
        <v>403</v>
      </c>
      <c r="M43" s="4" t="s">
        <v>507</v>
      </c>
      <c r="N43" s="4" t="s">
        <v>478</v>
      </c>
    </row>
    <row r="44" spans="1:19" ht="15.95" customHeight="1" x14ac:dyDescent="0.25">
      <c r="A44" s="4">
        <v>13</v>
      </c>
      <c r="B44" s="4">
        <v>12</v>
      </c>
      <c r="C44" s="4" t="s">
        <v>923</v>
      </c>
      <c r="D44" s="4" t="s">
        <v>134</v>
      </c>
      <c r="E44" s="4" t="s">
        <v>27</v>
      </c>
      <c r="F44" s="22">
        <v>109340.5</v>
      </c>
      <c r="G44" s="23" t="s">
        <v>419</v>
      </c>
      <c r="H44" s="23" t="s">
        <v>970</v>
      </c>
      <c r="I44" s="4" t="s">
        <v>96</v>
      </c>
      <c r="J44" s="23" t="s">
        <v>981</v>
      </c>
      <c r="M44" s="4" t="s">
        <v>510</v>
      </c>
      <c r="N44" s="4" t="s">
        <v>481</v>
      </c>
    </row>
    <row r="45" spans="1:19" ht="15.95" customHeight="1" x14ac:dyDescent="0.25">
      <c r="A45" s="4">
        <v>11</v>
      </c>
      <c r="B45" s="4">
        <v>14</v>
      </c>
      <c r="C45" s="4" t="s">
        <v>924</v>
      </c>
      <c r="D45" s="4" t="s">
        <v>134</v>
      </c>
      <c r="E45" s="4" t="s">
        <v>30</v>
      </c>
      <c r="F45" s="22">
        <v>6475.86</v>
      </c>
      <c r="G45" s="23" t="s">
        <v>417</v>
      </c>
      <c r="H45" s="23" t="s">
        <v>970</v>
      </c>
      <c r="I45" s="4" t="s">
        <v>386</v>
      </c>
      <c r="J45" s="23" t="s">
        <v>399</v>
      </c>
      <c r="K45" s="23" t="s">
        <v>650</v>
      </c>
      <c r="L45"/>
      <c r="M45" s="4">
        <v>35.254541000000003</v>
      </c>
      <c r="N45" s="4">
        <v>-107.032403</v>
      </c>
      <c r="P45" t="s">
        <v>686</v>
      </c>
      <c r="Q45" s="4">
        <v>35.254541000000003</v>
      </c>
      <c r="R45" s="4">
        <v>-107.032403</v>
      </c>
      <c r="S45" s="4" t="s">
        <v>755</v>
      </c>
    </row>
    <row r="46" spans="1:19" ht="15.95" customHeight="1" x14ac:dyDescent="0.25">
      <c r="A46" s="4">
        <v>7</v>
      </c>
      <c r="B46" s="4">
        <v>13</v>
      </c>
      <c r="C46" s="4" t="s">
        <v>925</v>
      </c>
      <c r="D46" s="4" t="s">
        <v>134</v>
      </c>
      <c r="E46" s="4" t="s">
        <v>30</v>
      </c>
      <c r="F46" s="22">
        <v>44191.87</v>
      </c>
      <c r="G46" s="23" t="s">
        <v>415</v>
      </c>
      <c r="H46" s="23" t="s">
        <v>970</v>
      </c>
      <c r="I46" s="4" t="s">
        <v>97</v>
      </c>
      <c r="J46" s="23" t="s">
        <v>397</v>
      </c>
      <c r="M46" s="4" t="s">
        <v>549</v>
      </c>
      <c r="N46" s="4" t="s">
        <v>541</v>
      </c>
    </row>
    <row r="47" spans="1:19" ht="15.95" customHeight="1" x14ac:dyDescent="0.25">
      <c r="A47" s="4">
        <v>12</v>
      </c>
      <c r="B47" s="4">
        <v>15</v>
      </c>
      <c r="C47" s="4" t="s">
        <v>926</v>
      </c>
      <c r="D47" s="4" t="s">
        <v>134</v>
      </c>
      <c r="E47" s="4" t="s">
        <v>433</v>
      </c>
      <c r="F47" s="22">
        <v>24422.34</v>
      </c>
      <c r="G47" s="23" t="s">
        <v>418</v>
      </c>
      <c r="H47" t="s">
        <v>985</v>
      </c>
      <c r="I47" s="4" t="s">
        <v>96</v>
      </c>
      <c r="J47" s="23" t="s">
        <v>400</v>
      </c>
      <c r="M47" s="4" t="s">
        <v>551</v>
      </c>
      <c r="N47" s="4" t="s">
        <v>543</v>
      </c>
    </row>
    <row r="48" spans="1:19" ht="15.95" customHeight="1" x14ac:dyDescent="0.25">
      <c r="A48" s="4">
        <v>29</v>
      </c>
      <c r="B48" s="4">
        <v>1</v>
      </c>
      <c r="C48" s="4" t="s">
        <v>927</v>
      </c>
      <c r="D48" s="4" t="s">
        <v>135</v>
      </c>
      <c r="E48" s="4" t="s">
        <v>140</v>
      </c>
      <c r="F48" s="24">
        <v>7060.66</v>
      </c>
      <c r="H48" t="s">
        <v>986</v>
      </c>
      <c r="I48" s="4" t="s">
        <v>216</v>
      </c>
      <c r="J48" s="23" t="s">
        <v>267</v>
      </c>
      <c r="K48" s="23" t="s">
        <v>638</v>
      </c>
      <c r="L48"/>
      <c r="M48">
        <v>36.759937999999998</v>
      </c>
      <c r="N48">
        <v>-108.483079</v>
      </c>
      <c r="P48" t="s">
        <v>689</v>
      </c>
      <c r="Q48">
        <v>36.759937999999998</v>
      </c>
      <c r="R48">
        <v>-108.483079</v>
      </c>
    </row>
    <row r="49" spans="1:18" ht="15.95" customHeight="1" x14ac:dyDescent="0.25">
      <c r="A49" s="4">
        <v>61</v>
      </c>
      <c r="B49" s="4">
        <v>2</v>
      </c>
      <c r="C49" s="4" t="s">
        <v>783</v>
      </c>
      <c r="D49" s="4" t="s">
        <v>135</v>
      </c>
      <c r="E49" s="25" t="s">
        <v>185</v>
      </c>
      <c r="F49" s="24">
        <v>18777.060000000001</v>
      </c>
      <c r="H49" t="s">
        <v>986</v>
      </c>
      <c r="I49" s="4" t="s">
        <v>216</v>
      </c>
      <c r="J49" s="23" t="s">
        <v>279</v>
      </c>
      <c r="K49" s="23" t="s">
        <v>607</v>
      </c>
      <c r="L49"/>
      <c r="M49">
        <v>36.845277000000003</v>
      </c>
      <c r="N49">
        <v>-108.227575</v>
      </c>
      <c r="P49" t="s">
        <v>691</v>
      </c>
      <c r="Q49">
        <v>36.845277000000003</v>
      </c>
      <c r="R49">
        <v>-108.227575</v>
      </c>
    </row>
    <row r="50" spans="1:18" ht="15.95" customHeight="1" x14ac:dyDescent="0.25">
      <c r="A50" s="4">
        <v>64</v>
      </c>
      <c r="B50" s="4">
        <v>3</v>
      </c>
      <c r="C50" s="4" t="s">
        <v>785</v>
      </c>
      <c r="D50" s="4" t="s">
        <v>135</v>
      </c>
      <c r="E50" s="4" t="s">
        <v>188</v>
      </c>
      <c r="F50" s="24">
        <v>22232.15</v>
      </c>
      <c r="H50" t="s">
        <v>986</v>
      </c>
      <c r="I50" s="4" t="s">
        <v>224</v>
      </c>
      <c r="J50" s="23" t="s">
        <v>282</v>
      </c>
      <c r="K50" s="23" t="s">
        <v>639</v>
      </c>
      <c r="L50"/>
      <c r="M50">
        <v>34.729646000000002</v>
      </c>
      <c r="N50">
        <v>-106.771619</v>
      </c>
      <c r="P50" t="s">
        <v>693</v>
      </c>
      <c r="Q50">
        <v>34.729646000000002</v>
      </c>
      <c r="R50">
        <v>-106.771619</v>
      </c>
    </row>
    <row r="51" spans="1:18" ht="15.95" customHeight="1" x14ac:dyDescent="0.25">
      <c r="A51" s="4">
        <v>49</v>
      </c>
      <c r="B51" s="4">
        <v>4</v>
      </c>
      <c r="C51" s="4" t="s">
        <v>928</v>
      </c>
      <c r="D51" s="4" t="s">
        <v>135</v>
      </c>
      <c r="E51" s="4" t="s">
        <v>208</v>
      </c>
      <c r="F51" s="24">
        <v>17883.740000000002</v>
      </c>
      <c r="H51" t="s">
        <v>986</v>
      </c>
      <c r="I51" s="4" t="s">
        <v>226</v>
      </c>
      <c r="J51" s="23" t="s">
        <v>273</v>
      </c>
      <c r="K51" s="23" t="s">
        <v>640</v>
      </c>
      <c r="L51"/>
      <c r="M51">
        <v>34.453321000000003</v>
      </c>
      <c r="N51">
        <v>-103.63400300000001</v>
      </c>
      <c r="P51" t="s">
        <v>695</v>
      </c>
      <c r="Q51">
        <v>34.453321000000003</v>
      </c>
      <c r="R51">
        <v>-103.63400300000001</v>
      </c>
    </row>
    <row r="52" spans="1:18" ht="15.95" customHeight="1" x14ac:dyDescent="0.25">
      <c r="A52" s="4">
        <v>47</v>
      </c>
      <c r="B52" s="4">
        <v>5</v>
      </c>
      <c r="C52" s="4" t="s">
        <v>929</v>
      </c>
      <c r="D52" s="4" t="s">
        <v>135</v>
      </c>
      <c r="E52" s="4" t="s">
        <v>207</v>
      </c>
      <c r="F52" s="24">
        <v>21849.64</v>
      </c>
      <c r="H52" t="s">
        <v>986</v>
      </c>
      <c r="I52" s="4" t="s">
        <v>226</v>
      </c>
      <c r="J52" s="23" t="s">
        <v>272</v>
      </c>
      <c r="K52" s="23" t="s">
        <v>641</v>
      </c>
      <c r="L52"/>
      <c r="M52">
        <v>34.478037</v>
      </c>
      <c r="N52">
        <v>-103.63417200000001</v>
      </c>
      <c r="P52" t="s">
        <v>697</v>
      </c>
      <c r="Q52">
        <v>34.478037</v>
      </c>
      <c r="R52">
        <v>-103.63417200000001</v>
      </c>
    </row>
    <row r="53" spans="1:18" ht="15.95" customHeight="1" x14ac:dyDescent="0.25">
      <c r="A53" s="4">
        <v>36</v>
      </c>
      <c r="B53" s="4">
        <v>6</v>
      </c>
      <c r="C53" s="4" t="s">
        <v>930</v>
      </c>
      <c r="D53" s="4" t="s">
        <v>135</v>
      </c>
      <c r="E53" s="4" t="s">
        <v>204</v>
      </c>
      <c r="F53" s="24">
        <v>21517.74</v>
      </c>
      <c r="H53" t="s">
        <v>986</v>
      </c>
      <c r="I53" s="4" t="s">
        <v>226</v>
      </c>
      <c r="J53" s="23" t="s">
        <v>292</v>
      </c>
      <c r="K53" s="23" t="s">
        <v>642</v>
      </c>
      <c r="L53"/>
      <c r="M53" s="4">
        <v>34.463562000000003</v>
      </c>
      <c r="N53" s="4">
        <v>-103.625647</v>
      </c>
      <c r="P53" t="s">
        <v>697</v>
      </c>
      <c r="Q53" s="4">
        <v>34.463562000000003</v>
      </c>
      <c r="R53" s="4">
        <v>-103.625647</v>
      </c>
    </row>
    <row r="54" spans="1:18" ht="15.95" customHeight="1" x14ac:dyDescent="0.25">
      <c r="A54" s="4">
        <v>34</v>
      </c>
      <c r="B54" s="4">
        <v>7</v>
      </c>
      <c r="C54" s="4" t="s">
        <v>931</v>
      </c>
      <c r="D54" s="4" t="s">
        <v>135</v>
      </c>
      <c r="E54" s="25" t="s">
        <v>766</v>
      </c>
      <c r="F54" s="24">
        <v>6447.15</v>
      </c>
      <c r="H54" t="s">
        <v>986</v>
      </c>
      <c r="I54" s="4" t="s">
        <v>218</v>
      </c>
      <c r="J54" s="23" t="s">
        <v>290</v>
      </c>
      <c r="K54" s="23" t="s">
        <v>643</v>
      </c>
      <c r="L54"/>
      <c r="M54">
        <v>35.534471000000003</v>
      </c>
      <c r="N54">
        <v>-108.72617</v>
      </c>
      <c r="P54" t="s">
        <v>700</v>
      </c>
      <c r="Q54">
        <v>35.534471000000003</v>
      </c>
      <c r="R54">
        <v>-108.72617</v>
      </c>
    </row>
    <row r="55" spans="1:18" ht="15.95" customHeight="1" x14ac:dyDescent="0.25">
      <c r="A55" s="4">
        <v>2</v>
      </c>
      <c r="B55" s="4">
        <v>8</v>
      </c>
      <c r="C55" s="4" t="s">
        <v>932</v>
      </c>
      <c r="D55" s="4" t="s">
        <v>135</v>
      </c>
      <c r="E55" s="4" t="s">
        <v>144</v>
      </c>
      <c r="F55" s="24">
        <v>11097.94</v>
      </c>
      <c r="H55" t="s">
        <v>986</v>
      </c>
      <c r="I55" s="4" t="s">
        <v>223</v>
      </c>
      <c r="J55" s="23" t="s">
        <v>248</v>
      </c>
      <c r="K55" s="23" t="s">
        <v>644</v>
      </c>
      <c r="L55"/>
      <c r="M55">
        <v>34.203480999999996</v>
      </c>
      <c r="N55">
        <v>-106.921828</v>
      </c>
      <c r="P55" t="s">
        <v>702</v>
      </c>
      <c r="Q55">
        <v>34.203480999999996</v>
      </c>
      <c r="R55">
        <v>-106.921828</v>
      </c>
    </row>
    <row r="56" spans="1:18" ht="15.95" customHeight="1" x14ac:dyDescent="0.25">
      <c r="A56" s="4">
        <v>16</v>
      </c>
      <c r="B56" s="4">
        <v>9</v>
      </c>
      <c r="C56" s="4" t="s">
        <v>933</v>
      </c>
      <c r="D56" s="4" t="s">
        <v>135</v>
      </c>
      <c r="E56" s="25" t="s">
        <v>760</v>
      </c>
      <c r="F56" s="24">
        <v>14005.25</v>
      </c>
      <c r="H56" t="s">
        <v>986</v>
      </c>
      <c r="I56" s="4" t="s">
        <v>225</v>
      </c>
      <c r="J56" s="23" t="s">
        <v>255</v>
      </c>
      <c r="K56" s="23" t="s">
        <v>645</v>
      </c>
      <c r="L56"/>
      <c r="M56">
        <v>35.107591999999997</v>
      </c>
      <c r="N56" s="4">
        <v>-104.35553400000001</v>
      </c>
      <c r="P56" t="s">
        <v>704</v>
      </c>
      <c r="Q56">
        <v>35.107591999999997</v>
      </c>
      <c r="R56" s="4">
        <v>-104.35553400000001</v>
      </c>
    </row>
    <row r="57" spans="1:18" ht="15.95" customHeight="1" x14ac:dyDescent="0.25">
      <c r="A57" s="4">
        <v>37</v>
      </c>
      <c r="B57" s="4">
        <v>10</v>
      </c>
      <c r="C57" s="4" t="s">
        <v>934</v>
      </c>
      <c r="D57" s="4" t="s">
        <v>135</v>
      </c>
      <c r="E57" s="25" t="s">
        <v>759</v>
      </c>
      <c r="F57" s="24">
        <v>10958.54</v>
      </c>
      <c r="H57" t="s">
        <v>986</v>
      </c>
      <c r="I57" s="4" t="s">
        <v>220</v>
      </c>
      <c r="J57" s="23" t="s">
        <v>293</v>
      </c>
      <c r="K57" s="23" t="s">
        <v>620</v>
      </c>
      <c r="L57"/>
      <c r="M57" s="4">
        <v>35.999977999999999</v>
      </c>
      <c r="N57" s="4">
        <v>-105.932644</v>
      </c>
      <c r="P57" t="s">
        <v>706</v>
      </c>
      <c r="Q57" s="4">
        <v>35.999977999999999</v>
      </c>
      <c r="R57" s="4">
        <v>-105.932644</v>
      </c>
    </row>
    <row r="58" spans="1:18" ht="15.95" customHeight="1" x14ac:dyDescent="0.25">
      <c r="A58" s="4">
        <v>26</v>
      </c>
      <c r="B58" s="4">
        <v>11</v>
      </c>
      <c r="C58" s="4" t="s">
        <v>935</v>
      </c>
      <c r="D58" s="4" t="s">
        <v>135</v>
      </c>
      <c r="E58" s="4" t="s">
        <v>176</v>
      </c>
      <c r="F58" s="24">
        <v>11542.9</v>
      </c>
      <c r="H58" t="s">
        <v>986</v>
      </c>
      <c r="I58" s="4" t="s">
        <v>221</v>
      </c>
      <c r="J58" s="23" t="s">
        <v>264</v>
      </c>
      <c r="K58" s="23" t="s">
        <v>593</v>
      </c>
      <c r="L58"/>
      <c r="M58">
        <v>34.988419</v>
      </c>
      <c r="N58" s="4">
        <v>-106.71334299999999</v>
      </c>
      <c r="P58" t="s">
        <v>707</v>
      </c>
      <c r="Q58">
        <v>34.988419</v>
      </c>
      <c r="R58" s="4">
        <v>-106.71334299999999</v>
      </c>
    </row>
    <row r="59" spans="1:18" ht="15.95" customHeight="1" x14ac:dyDescent="0.25">
      <c r="A59" s="4">
        <v>65</v>
      </c>
      <c r="B59" s="4">
        <v>12</v>
      </c>
      <c r="C59" s="4" t="s">
        <v>786</v>
      </c>
      <c r="D59" s="4" t="s">
        <v>135</v>
      </c>
      <c r="E59" s="4" t="s">
        <v>143</v>
      </c>
      <c r="F59" s="24">
        <v>13497.75</v>
      </c>
      <c r="H59" t="s">
        <v>986</v>
      </c>
      <c r="I59" s="4" t="s">
        <v>216</v>
      </c>
      <c r="J59" s="23" t="s">
        <v>283</v>
      </c>
      <c r="K59" s="23" t="s">
        <v>611</v>
      </c>
      <c r="L59"/>
      <c r="M59">
        <v>36.848787999999999</v>
      </c>
      <c r="N59" s="4">
        <v>-108.225359</v>
      </c>
      <c r="P59" t="s">
        <v>691</v>
      </c>
      <c r="Q59">
        <v>36.848787999999999</v>
      </c>
      <c r="R59" s="4">
        <v>-108.225359</v>
      </c>
    </row>
    <row r="60" spans="1:18" ht="15.95" customHeight="1" x14ac:dyDescent="0.25">
      <c r="A60" s="4">
        <v>44</v>
      </c>
      <c r="B60" s="4">
        <v>13</v>
      </c>
      <c r="C60" s="4" t="s">
        <v>936</v>
      </c>
      <c r="D60" s="4" t="s">
        <v>135</v>
      </c>
      <c r="E60" s="4" t="s">
        <v>205</v>
      </c>
      <c r="F60" s="24">
        <v>21517.74</v>
      </c>
      <c r="H60" t="s">
        <v>986</v>
      </c>
      <c r="I60" s="4" t="s">
        <v>226</v>
      </c>
      <c r="J60" s="23" t="s">
        <v>269</v>
      </c>
      <c r="K60" s="23" t="s">
        <v>646</v>
      </c>
      <c r="L60"/>
      <c r="M60">
        <v>34.536394000000001</v>
      </c>
      <c r="N60" s="4">
        <v>-103.57079400000001</v>
      </c>
      <c r="P60" t="s">
        <v>710</v>
      </c>
      <c r="Q60">
        <v>34.536394000000001</v>
      </c>
      <c r="R60" s="4">
        <v>-103.57079400000001</v>
      </c>
    </row>
    <row r="61" spans="1:18" ht="15.95" customHeight="1" x14ac:dyDescent="0.25">
      <c r="A61" s="4">
        <v>59</v>
      </c>
      <c r="B61" s="4">
        <v>14</v>
      </c>
      <c r="C61" s="4" t="s">
        <v>937</v>
      </c>
      <c r="D61" s="4" t="s">
        <v>135</v>
      </c>
      <c r="E61" s="4" t="s">
        <v>209</v>
      </c>
      <c r="F61" s="24">
        <v>18160.900000000001</v>
      </c>
      <c r="H61" t="s">
        <v>986</v>
      </c>
      <c r="I61" s="4" t="s">
        <v>227</v>
      </c>
      <c r="J61" s="23" t="s">
        <v>297</v>
      </c>
      <c r="K61" s="23" t="s">
        <v>623</v>
      </c>
      <c r="L61"/>
      <c r="M61">
        <v>32.237724</v>
      </c>
      <c r="N61" s="4">
        <v>-108.533084</v>
      </c>
      <c r="P61" t="s">
        <v>711</v>
      </c>
      <c r="Q61">
        <v>32.237724</v>
      </c>
      <c r="R61" s="4">
        <v>-108.533084</v>
      </c>
    </row>
    <row r="62" spans="1:18" ht="15.95" customHeight="1" x14ac:dyDescent="0.25">
      <c r="A62" s="4">
        <v>25</v>
      </c>
      <c r="B62" s="4">
        <v>15</v>
      </c>
      <c r="C62" s="4" t="s">
        <v>938</v>
      </c>
      <c r="D62" s="4" t="s">
        <v>135</v>
      </c>
      <c r="E62" s="4" t="s">
        <v>175</v>
      </c>
      <c r="F62" s="24">
        <v>6911.28</v>
      </c>
      <c r="H62" t="s">
        <v>986</v>
      </c>
      <c r="I62" s="4" t="s">
        <v>221</v>
      </c>
      <c r="J62" s="23" t="s">
        <v>263</v>
      </c>
      <c r="K62" s="23" t="s">
        <v>592</v>
      </c>
      <c r="L62"/>
      <c r="M62">
        <v>35.144368</v>
      </c>
      <c r="N62" s="4">
        <v>-106.524461</v>
      </c>
      <c r="P62" t="s">
        <v>712</v>
      </c>
      <c r="Q62">
        <v>35.144368</v>
      </c>
      <c r="R62" s="4">
        <v>-106.524461</v>
      </c>
    </row>
    <row r="63" spans="1:18" ht="15.95" customHeight="1" x14ac:dyDescent="0.25">
      <c r="A63" s="4">
        <v>5</v>
      </c>
      <c r="B63" s="4">
        <v>16</v>
      </c>
      <c r="C63" s="4" t="s">
        <v>788</v>
      </c>
      <c r="D63" s="4" t="s">
        <v>135</v>
      </c>
      <c r="E63" s="4" t="s">
        <v>145</v>
      </c>
      <c r="F63" s="24">
        <v>3193.01</v>
      </c>
      <c r="H63" t="s">
        <v>986</v>
      </c>
      <c r="I63" s="4" t="s">
        <v>221</v>
      </c>
      <c r="J63" s="23" t="s">
        <v>249</v>
      </c>
      <c r="K63" s="23" t="s">
        <v>579</v>
      </c>
      <c r="L63"/>
      <c r="M63">
        <v>35.056103999999998</v>
      </c>
      <c r="N63" s="4">
        <v>-106.663554</v>
      </c>
      <c r="P63" t="s">
        <v>707</v>
      </c>
      <c r="Q63">
        <v>35.056103999999998</v>
      </c>
      <c r="R63" s="4">
        <v>-106.663554</v>
      </c>
    </row>
    <row r="64" spans="1:18" ht="15.95" customHeight="1" x14ac:dyDescent="0.25">
      <c r="A64" s="4">
        <v>62</v>
      </c>
      <c r="B64" s="4">
        <v>17</v>
      </c>
      <c r="C64" s="4" t="s">
        <v>784</v>
      </c>
      <c r="D64" s="4" t="s">
        <v>135</v>
      </c>
      <c r="E64" s="4" t="s">
        <v>186</v>
      </c>
      <c r="F64" s="24">
        <v>20705.439999999999</v>
      </c>
      <c r="H64" t="s">
        <v>986</v>
      </c>
      <c r="I64" s="4" t="s">
        <v>216</v>
      </c>
      <c r="J64" s="23" t="s">
        <v>280</v>
      </c>
      <c r="K64" s="23" t="s">
        <v>608</v>
      </c>
      <c r="L64"/>
      <c r="M64">
        <v>36.845491000000003</v>
      </c>
      <c r="N64" s="4">
        <v>-108.228579</v>
      </c>
      <c r="P64" t="s">
        <v>691</v>
      </c>
      <c r="Q64">
        <v>36.845491000000003</v>
      </c>
      <c r="R64" s="4">
        <v>-108.228579</v>
      </c>
    </row>
    <row r="65" spans="1:18" ht="15.95" customHeight="1" x14ac:dyDescent="0.25">
      <c r="A65" s="4">
        <v>57</v>
      </c>
      <c r="B65" s="4">
        <v>18</v>
      </c>
      <c r="C65" s="4" t="s">
        <v>939</v>
      </c>
      <c r="D65" s="4" t="s">
        <v>135</v>
      </c>
      <c r="E65" s="4" t="s">
        <v>141</v>
      </c>
      <c r="F65" s="24">
        <v>16622.86</v>
      </c>
      <c r="H65" t="s">
        <v>986</v>
      </c>
      <c r="I65" s="4" t="s">
        <v>226</v>
      </c>
      <c r="J65" s="23" t="s">
        <v>277</v>
      </c>
      <c r="K65" s="23" t="s">
        <v>605</v>
      </c>
      <c r="L65"/>
      <c r="M65">
        <v>34.86307</v>
      </c>
      <c r="N65" s="4">
        <v>-103.209794</v>
      </c>
      <c r="P65" t="s">
        <v>716</v>
      </c>
      <c r="Q65">
        <v>34.86307</v>
      </c>
      <c r="R65" s="4">
        <v>-103.209794</v>
      </c>
    </row>
    <row r="66" spans="1:18" ht="15.95" customHeight="1" x14ac:dyDescent="0.25">
      <c r="A66" s="4">
        <v>28</v>
      </c>
      <c r="B66" s="4">
        <v>19</v>
      </c>
      <c r="C66" s="4" t="s">
        <v>940</v>
      </c>
      <c r="D66" s="4" t="s">
        <v>135</v>
      </c>
      <c r="E66" s="4" t="s">
        <v>177</v>
      </c>
      <c r="F66" s="24">
        <v>13162.84</v>
      </c>
      <c r="H66" t="s">
        <v>986</v>
      </c>
      <c r="I66" s="4" t="s">
        <v>216</v>
      </c>
      <c r="J66" s="23" t="s">
        <v>266</v>
      </c>
      <c r="K66" s="23" t="s">
        <v>595</v>
      </c>
      <c r="L66"/>
      <c r="M66">
        <v>36.717182999999999</v>
      </c>
      <c r="N66" s="4">
        <v>-108.005026</v>
      </c>
      <c r="P66" t="s">
        <v>718</v>
      </c>
      <c r="Q66">
        <v>36.717182999999999</v>
      </c>
      <c r="R66" s="4">
        <v>-108.005026</v>
      </c>
    </row>
    <row r="67" spans="1:18" ht="15.95" customHeight="1" x14ac:dyDescent="0.25">
      <c r="A67" s="4">
        <v>31</v>
      </c>
      <c r="B67" s="4">
        <v>20</v>
      </c>
      <c r="C67" s="4" t="s">
        <v>941</v>
      </c>
      <c r="D67" s="4" t="s">
        <v>135</v>
      </c>
      <c r="E67" s="4" t="s">
        <v>193</v>
      </c>
      <c r="F67" s="24">
        <v>8243.67</v>
      </c>
      <c r="H67" t="s">
        <v>986</v>
      </c>
      <c r="I67" s="4" t="s">
        <v>215</v>
      </c>
      <c r="J67" s="23" t="s">
        <v>288</v>
      </c>
      <c r="K67" s="23" t="s">
        <v>615</v>
      </c>
      <c r="L67"/>
      <c r="M67">
        <v>36.076808</v>
      </c>
      <c r="N67" s="4">
        <v>-106.066356</v>
      </c>
      <c r="P67" t="s">
        <v>720</v>
      </c>
      <c r="Q67">
        <v>36.076808</v>
      </c>
      <c r="R67" s="4">
        <v>-106.066356</v>
      </c>
    </row>
    <row r="68" spans="1:18" ht="15.95" customHeight="1" x14ac:dyDescent="0.25">
      <c r="A68" s="4">
        <v>10</v>
      </c>
      <c r="B68" s="4">
        <v>21</v>
      </c>
      <c r="C68" s="4" t="s">
        <v>942</v>
      </c>
      <c r="D68" s="4" t="s">
        <v>135</v>
      </c>
      <c r="E68" s="4" t="s">
        <v>137</v>
      </c>
      <c r="F68" s="24">
        <v>4290.96</v>
      </c>
      <c r="H68" t="s">
        <v>986</v>
      </c>
      <c r="I68" s="4" t="s">
        <v>223</v>
      </c>
      <c r="J68" s="23" t="s">
        <v>247</v>
      </c>
      <c r="K68" s="23" t="s">
        <v>577</v>
      </c>
      <c r="L68"/>
      <c r="M68">
        <v>34.202156000000002</v>
      </c>
      <c r="N68" s="4">
        <v>-106.91837200000001</v>
      </c>
      <c r="P68" t="s">
        <v>722</v>
      </c>
      <c r="Q68">
        <v>34.202156000000002</v>
      </c>
      <c r="R68" s="4">
        <v>-106.91837200000001</v>
      </c>
    </row>
    <row r="69" spans="1:18" ht="15.95" customHeight="1" x14ac:dyDescent="0.25">
      <c r="A69" s="4">
        <v>4</v>
      </c>
      <c r="B69" s="4">
        <v>22</v>
      </c>
      <c r="C69" s="4" t="s">
        <v>943</v>
      </c>
      <c r="D69" s="4" t="s">
        <v>135</v>
      </c>
      <c r="E69" s="4" t="s">
        <v>136</v>
      </c>
      <c r="F69" s="24">
        <v>11491.48</v>
      </c>
      <c r="H69" t="s">
        <v>986</v>
      </c>
      <c r="I69" s="4" t="s">
        <v>222</v>
      </c>
      <c r="J69" s="23" t="s">
        <v>244</v>
      </c>
      <c r="K69" s="23" t="s">
        <v>574</v>
      </c>
      <c r="L69"/>
      <c r="M69">
        <v>32.106665</v>
      </c>
      <c r="N69" s="4">
        <v>-104.47577099999999</v>
      </c>
      <c r="P69" t="s">
        <v>723</v>
      </c>
      <c r="Q69">
        <v>32.106665</v>
      </c>
      <c r="R69" s="4">
        <v>-104.47577099999999</v>
      </c>
    </row>
    <row r="70" spans="1:18" ht="15.95" customHeight="1" x14ac:dyDescent="0.25">
      <c r="A70" s="4">
        <v>40</v>
      </c>
      <c r="B70" s="4">
        <v>23</v>
      </c>
      <c r="C70" s="4" t="s">
        <v>944</v>
      </c>
      <c r="D70" s="4" t="s">
        <v>135</v>
      </c>
      <c r="E70" s="26" t="s">
        <v>761</v>
      </c>
      <c r="F70" s="24">
        <v>19263</v>
      </c>
      <c r="H70" t="s">
        <v>986</v>
      </c>
      <c r="I70" s="4" t="s">
        <v>212</v>
      </c>
      <c r="J70" s="23" t="s">
        <v>296</v>
      </c>
      <c r="K70" s="23" t="s">
        <v>622</v>
      </c>
      <c r="L70"/>
      <c r="M70" s="4">
        <v>35.918334999999999</v>
      </c>
      <c r="N70" s="4">
        <v>-105.352611</v>
      </c>
      <c r="P70" t="s">
        <v>724</v>
      </c>
      <c r="Q70" s="4">
        <v>35.918334999999999</v>
      </c>
      <c r="R70" s="4">
        <v>-105.352611</v>
      </c>
    </row>
    <row r="71" spans="1:18" ht="15.95" customHeight="1" x14ac:dyDescent="0.25">
      <c r="A71" s="4">
        <v>11</v>
      </c>
      <c r="B71" s="4">
        <v>24</v>
      </c>
      <c r="C71" s="4" t="s">
        <v>945</v>
      </c>
      <c r="D71" s="4" t="s">
        <v>135</v>
      </c>
      <c r="E71" s="4" t="s">
        <v>138</v>
      </c>
      <c r="F71" s="24">
        <v>13329.65</v>
      </c>
      <c r="H71" t="s">
        <v>986</v>
      </c>
      <c r="I71" s="4" t="s">
        <v>216</v>
      </c>
      <c r="J71" s="23" t="s">
        <v>252</v>
      </c>
      <c r="K71" s="23" t="s">
        <v>581</v>
      </c>
      <c r="L71"/>
      <c r="M71">
        <v>36.807642000000001</v>
      </c>
      <c r="N71" s="4">
        <v>-108.052958</v>
      </c>
      <c r="P71" t="s">
        <v>726</v>
      </c>
      <c r="Q71">
        <v>36.807642000000001</v>
      </c>
      <c r="R71" s="4">
        <v>-108.052958</v>
      </c>
    </row>
    <row r="72" spans="1:18" ht="15.95" customHeight="1" x14ac:dyDescent="0.25">
      <c r="A72" s="4">
        <v>68</v>
      </c>
      <c r="B72" s="4">
        <v>25</v>
      </c>
      <c r="C72" s="4" t="s">
        <v>787</v>
      </c>
      <c r="D72" s="4" t="s">
        <v>135</v>
      </c>
      <c r="E72" s="4" t="s">
        <v>190</v>
      </c>
      <c r="F72" s="22">
        <v>5825.2</v>
      </c>
      <c r="H72" t="s">
        <v>986</v>
      </c>
      <c r="I72" s="4" t="s">
        <v>221</v>
      </c>
      <c r="J72" s="23" t="s">
        <v>285</v>
      </c>
      <c r="K72" s="23" t="s">
        <v>613</v>
      </c>
      <c r="L72"/>
      <c r="M72">
        <v>35.056530000000002</v>
      </c>
      <c r="N72" s="4">
        <v>-106.666203</v>
      </c>
      <c r="P72" t="s">
        <v>728</v>
      </c>
      <c r="Q72">
        <v>35.056530000000002</v>
      </c>
      <c r="R72" s="4">
        <v>-106.666203</v>
      </c>
    </row>
    <row r="73" spans="1:18" ht="15.95" customHeight="1" x14ac:dyDescent="0.25">
      <c r="A73" s="4">
        <v>41</v>
      </c>
      <c r="B73" s="4">
        <v>26</v>
      </c>
      <c r="C73" s="4" t="s">
        <v>946</v>
      </c>
      <c r="D73" s="4" t="s">
        <v>135</v>
      </c>
      <c r="E73" s="4" t="s">
        <v>199</v>
      </c>
      <c r="F73" s="24">
        <v>15254.76</v>
      </c>
      <c r="H73" t="s">
        <v>986</v>
      </c>
      <c r="I73" s="4" t="s">
        <v>221</v>
      </c>
      <c r="J73" s="23" t="s">
        <v>295</v>
      </c>
      <c r="K73" s="23" t="s">
        <v>621</v>
      </c>
      <c r="L73"/>
      <c r="M73">
        <v>35.015684</v>
      </c>
      <c r="N73" s="4">
        <v>-106.69763</v>
      </c>
      <c r="P73" t="s">
        <v>728</v>
      </c>
      <c r="Q73">
        <v>35.015684</v>
      </c>
      <c r="R73" s="4">
        <v>-106.69763</v>
      </c>
    </row>
    <row r="74" spans="1:18" ht="15.95" customHeight="1" x14ac:dyDescent="0.25">
      <c r="A74" s="4">
        <v>27</v>
      </c>
      <c r="B74" s="4">
        <v>27</v>
      </c>
      <c r="C74" s="4" t="s">
        <v>947</v>
      </c>
      <c r="D74" s="4" t="s">
        <v>135</v>
      </c>
      <c r="E74" s="4" t="s">
        <v>139</v>
      </c>
      <c r="F74" s="24">
        <v>4451.3</v>
      </c>
      <c r="H74" t="s">
        <v>986</v>
      </c>
      <c r="I74" s="4" t="s">
        <v>221</v>
      </c>
      <c r="J74" s="23" t="s">
        <v>265</v>
      </c>
      <c r="K74" s="23" t="s">
        <v>594</v>
      </c>
      <c r="L74"/>
      <c r="M74">
        <v>35.137810999999999</v>
      </c>
      <c r="N74" s="4">
        <v>-106.645201</v>
      </c>
      <c r="P74" t="s">
        <v>731</v>
      </c>
      <c r="Q74">
        <v>35.137810999999999</v>
      </c>
      <c r="R74" s="4">
        <v>-106.645201</v>
      </c>
    </row>
    <row r="75" spans="1:18" ht="15.95" customHeight="1" x14ac:dyDescent="0.25">
      <c r="A75" s="4">
        <v>18</v>
      </c>
      <c r="B75" s="4">
        <v>28</v>
      </c>
      <c r="C75" s="4" t="s">
        <v>948</v>
      </c>
      <c r="D75" s="4" t="s">
        <v>135</v>
      </c>
      <c r="E75" s="4" t="s">
        <v>169</v>
      </c>
      <c r="F75" s="24">
        <v>21528</v>
      </c>
      <c r="H75" t="s">
        <v>986</v>
      </c>
      <c r="I75" s="4" t="s">
        <v>226</v>
      </c>
      <c r="J75" s="23" t="s">
        <v>257</v>
      </c>
      <c r="K75" s="23" t="s">
        <v>586</v>
      </c>
      <c r="M75">
        <v>34.466749</v>
      </c>
      <c r="N75" s="4">
        <v>-103.67253700000001</v>
      </c>
      <c r="Q75">
        <v>34.466749</v>
      </c>
      <c r="R75" s="4">
        <v>-103.67253700000001</v>
      </c>
    </row>
    <row r="76" spans="1:18" ht="15.95" customHeight="1" x14ac:dyDescent="0.25">
      <c r="A76" s="4">
        <v>52</v>
      </c>
      <c r="B76" s="4">
        <v>29</v>
      </c>
      <c r="C76" s="4" t="s">
        <v>949</v>
      </c>
      <c r="D76" s="4" t="s">
        <v>135</v>
      </c>
      <c r="E76" s="4" t="s">
        <v>182</v>
      </c>
      <c r="F76" s="24">
        <v>16322.33</v>
      </c>
      <c r="H76" t="s">
        <v>986</v>
      </c>
      <c r="I76" s="4" t="s">
        <v>221</v>
      </c>
      <c r="J76" s="23" t="s">
        <v>274</v>
      </c>
      <c r="K76" s="23" t="s">
        <v>602</v>
      </c>
      <c r="L76"/>
      <c r="M76">
        <v>35.18629</v>
      </c>
      <c r="N76" s="4">
        <v>-106.633655</v>
      </c>
      <c r="P76" t="s">
        <v>733</v>
      </c>
      <c r="Q76">
        <v>35.18629</v>
      </c>
      <c r="R76" s="4">
        <v>-106.633655</v>
      </c>
    </row>
    <row r="77" spans="1:18" ht="15.95" customHeight="1" x14ac:dyDescent="0.25">
      <c r="A77" s="4">
        <v>54</v>
      </c>
      <c r="B77" s="4">
        <v>30</v>
      </c>
      <c r="C77" s="4" t="s">
        <v>950</v>
      </c>
      <c r="D77" s="4" t="s">
        <v>135</v>
      </c>
      <c r="E77" s="25" t="s">
        <v>765</v>
      </c>
      <c r="F77" s="24">
        <v>15466.13</v>
      </c>
      <c r="H77" t="s">
        <v>986</v>
      </c>
      <c r="I77" s="4" t="s">
        <v>220</v>
      </c>
      <c r="J77" s="23" t="s">
        <v>275</v>
      </c>
      <c r="K77" s="23" t="s">
        <v>603</v>
      </c>
      <c r="L77"/>
      <c r="M77">
        <v>35.680047000000002</v>
      </c>
      <c r="N77" s="4">
        <v>-105.950395</v>
      </c>
      <c r="P77" t="s">
        <v>735</v>
      </c>
      <c r="Q77">
        <v>35.680047000000002</v>
      </c>
      <c r="R77" s="4">
        <v>-105.950395</v>
      </c>
    </row>
    <row r="78" spans="1:18" ht="15.95" customHeight="1" x14ac:dyDescent="0.25">
      <c r="A78" s="4">
        <v>23</v>
      </c>
      <c r="B78" s="4">
        <v>31</v>
      </c>
      <c r="C78" s="4" t="s">
        <v>951</v>
      </c>
      <c r="D78" s="4" t="s">
        <v>135</v>
      </c>
      <c r="E78" s="25" t="s">
        <v>762</v>
      </c>
      <c r="F78" s="24">
        <v>4386.99</v>
      </c>
      <c r="H78" t="s">
        <v>986</v>
      </c>
      <c r="I78" s="4" t="s">
        <v>221</v>
      </c>
      <c r="J78" s="23" t="s">
        <v>261</v>
      </c>
      <c r="K78" s="23" t="s">
        <v>590</v>
      </c>
      <c r="L78"/>
      <c r="M78">
        <v>35.165174</v>
      </c>
      <c r="N78" s="4">
        <v>-106.671797</v>
      </c>
      <c r="P78" t="s">
        <v>737</v>
      </c>
      <c r="Q78">
        <v>35.165174</v>
      </c>
      <c r="R78" s="4">
        <v>-106.671797</v>
      </c>
    </row>
    <row r="79" spans="1:18" ht="15.95" customHeight="1" x14ac:dyDescent="0.25">
      <c r="A79" s="4">
        <v>45</v>
      </c>
      <c r="B79" s="4">
        <v>32</v>
      </c>
      <c r="C79" s="4" t="s">
        <v>952</v>
      </c>
      <c r="D79" s="4" t="s">
        <v>135</v>
      </c>
      <c r="E79" s="4" t="s">
        <v>206</v>
      </c>
      <c r="F79" s="24">
        <v>11167.74</v>
      </c>
      <c r="H79" t="s">
        <v>986</v>
      </c>
      <c r="I79" s="4" t="s">
        <v>226</v>
      </c>
      <c r="J79" s="23" t="s">
        <v>270</v>
      </c>
      <c r="K79" s="23" t="s">
        <v>598</v>
      </c>
      <c r="L79"/>
      <c r="M79">
        <v>34.418171000000001</v>
      </c>
      <c r="N79" s="4">
        <v>-103.499048</v>
      </c>
      <c r="P79" t="s">
        <v>710</v>
      </c>
      <c r="Q79">
        <v>34.418171000000001</v>
      </c>
      <c r="R79" s="4">
        <v>-103.499048</v>
      </c>
    </row>
    <row r="80" spans="1:18" ht="15.95" customHeight="1" x14ac:dyDescent="0.25">
      <c r="A80" s="4">
        <v>17</v>
      </c>
      <c r="B80" s="4">
        <v>33</v>
      </c>
      <c r="C80" s="4" t="s">
        <v>953</v>
      </c>
      <c r="D80" s="4" t="s">
        <v>135</v>
      </c>
      <c r="E80" s="4" t="s">
        <v>146</v>
      </c>
      <c r="F80" s="24">
        <v>1861.76</v>
      </c>
      <c r="H80" t="s">
        <v>986</v>
      </c>
      <c r="I80" s="4" t="s">
        <v>215</v>
      </c>
      <c r="J80" s="23" t="s">
        <v>256</v>
      </c>
      <c r="K80" s="23" t="s">
        <v>585</v>
      </c>
      <c r="L80"/>
      <c r="M80">
        <v>36.219093000000001</v>
      </c>
      <c r="N80" s="4">
        <v>-106.317615</v>
      </c>
      <c r="P80" t="s">
        <v>740</v>
      </c>
      <c r="Q80">
        <v>36.219093000000001</v>
      </c>
      <c r="R80" s="4">
        <v>-106.317615</v>
      </c>
    </row>
    <row r="81" spans="1:19" ht="15.95" customHeight="1" x14ac:dyDescent="0.25">
      <c r="A81" s="4">
        <v>39</v>
      </c>
      <c r="B81" s="4">
        <v>34</v>
      </c>
      <c r="C81" s="4" t="s">
        <v>954</v>
      </c>
      <c r="D81" s="4" t="s">
        <v>135</v>
      </c>
      <c r="E81" s="4" t="s">
        <v>198</v>
      </c>
      <c r="F81" s="24">
        <v>18828.71</v>
      </c>
      <c r="H81" t="s">
        <v>986</v>
      </c>
      <c r="I81" s="4" t="s">
        <v>215</v>
      </c>
      <c r="J81" s="23" t="s">
        <v>294</v>
      </c>
      <c r="K81" s="23" t="s">
        <v>653</v>
      </c>
      <c r="L81"/>
      <c r="M81" s="4">
        <v>36.604078999999999</v>
      </c>
      <c r="N81" s="4">
        <v>-106.458405</v>
      </c>
      <c r="P81" t="s">
        <v>686</v>
      </c>
      <c r="Q81" s="4">
        <v>36.604078999999999</v>
      </c>
      <c r="R81" s="4">
        <v>-106.458405</v>
      </c>
      <c r="S81" s="4" t="s">
        <v>754</v>
      </c>
    </row>
    <row r="82" spans="1:19" ht="15.95" customHeight="1" x14ac:dyDescent="0.25">
      <c r="A82" s="4">
        <v>20</v>
      </c>
      <c r="B82" s="4">
        <v>35</v>
      </c>
      <c r="C82" s="4" t="s">
        <v>955</v>
      </c>
      <c r="D82" s="4" t="s">
        <v>135</v>
      </c>
      <c r="E82" s="25" t="s">
        <v>763</v>
      </c>
      <c r="F82" s="24">
        <v>25299.94</v>
      </c>
      <c r="H82" t="s">
        <v>986</v>
      </c>
      <c r="I82" s="4" t="s">
        <v>220</v>
      </c>
      <c r="J82" s="23" t="s">
        <v>259</v>
      </c>
      <c r="K82" s="23" t="s">
        <v>588</v>
      </c>
      <c r="L82"/>
      <c r="M82" s="4">
        <v>35.993825000000001</v>
      </c>
      <c r="N82" s="4">
        <v>-105.937504</v>
      </c>
      <c r="P82" t="s">
        <v>706</v>
      </c>
      <c r="Q82" s="4">
        <v>35.993825000000001</v>
      </c>
      <c r="R82" s="4">
        <v>-105.937504</v>
      </c>
    </row>
    <row r="83" spans="1:19" ht="15.95" customHeight="1" x14ac:dyDescent="0.25">
      <c r="A83" s="4">
        <v>30</v>
      </c>
      <c r="B83" s="4">
        <v>36</v>
      </c>
      <c r="C83" s="4" t="s">
        <v>956</v>
      </c>
      <c r="D83" s="4" t="s">
        <v>135</v>
      </c>
      <c r="E83" s="4" t="s">
        <v>192</v>
      </c>
      <c r="F83" s="24">
        <v>5849.42</v>
      </c>
      <c r="H83" t="s">
        <v>986</v>
      </c>
      <c r="I83" s="4" t="s">
        <v>213</v>
      </c>
      <c r="J83" s="23" t="s">
        <v>287</v>
      </c>
      <c r="K83" s="23" t="s">
        <v>614</v>
      </c>
      <c r="L83"/>
      <c r="M83">
        <v>35.225228000000001</v>
      </c>
      <c r="N83" s="4">
        <v>-106.60972099999999</v>
      </c>
      <c r="P83" t="s">
        <v>743</v>
      </c>
      <c r="Q83">
        <v>35.225228000000001</v>
      </c>
      <c r="R83" s="4">
        <v>-106.60972099999999</v>
      </c>
    </row>
    <row r="84" spans="1:19" ht="15.95" customHeight="1" x14ac:dyDescent="0.25">
      <c r="A84" s="4">
        <v>43</v>
      </c>
      <c r="B84" s="4">
        <v>37</v>
      </c>
      <c r="C84" s="4" t="s">
        <v>957</v>
      </c>
      <c r="D84" s="4" t="s">
        <v>135</v>
      </c>
      <c r="E84" s="26" t="s">
        <v>764</v>
      </c>
      <c r="F84" s="24">
        <v>21404.34</v>
      </c>
      <c r="H84" t="s">
        <v>986</v>
      </c>
      <c r="I84" s="4" t="s">
        <v>226</v>
      </c>
      <c r="J84" s="23" t="s">
        <v>268</v>
      </c>
      <c r="K84" s="23" t="s">
        <v>652</v>
      </c>
      <c r="L84"/>
      <c r="M84">
        <v>34.528745999999998</v>
      </c>
      <c r="N84" s="4">
        <v>-103.49499400000001</v>
      </c>
      <c r="P84" t="s">
        <v>686</v>
      </c>
      <c r="Q84">
        <v>34.528745999999998</v>
      </c>
      <c r="R84" s="4">
        <v>-103.49499400000001</v>
      </c>
    </row>
    <row r="85" spans="1:19" ht="15.95" customHeight="1" x14ac:dyDescent="0.25">
      <c r="A85" s="4">
        <v>60</v>
      </c>
      <c r="B85" s="4">
        <v>38</v>
      </c>
      <c r="C85" s="4" t="s">
        <v>782</v>
      </c>
      <c r="D85" s="4" t="s">
        <v>135</v>
      </c>
      <c r="E85" s="4" t="s">
        <v>142</v>
      </c>
      <c r="F85" s="22">
        <v>21632.94</v>
      </c>
      <c r="H85" t="s">
        <v>986</v>
      </c>
      <c r="I85" s="4" t="s">
        <v>226</v>
      </c>
      <c r="J85" s="23" t="s">
        <v>278</v>
      </c>
      <c r="K85" s="23" t="s">
        <v>606</v>
      </c>
      <c r="L85"/>
      <c r="M85">
        <v>34.353673000000001</v>
      </c>
      <c r="N85" s="4">
        <v>-103.13475200000001</v>
      </c>
      <c r="P85" t="s">
        <v>745</v>
      </c>
      <c r="Q85">
        <v>34.353673000000001</v>
      </c>
      <c r="R85" s="4">
        <v>-103.13475200000001</v>
      </c>
    </row>
    <row r="86" spans="1:19" ht="15.95" customHeight="1" x14ac:dyDescent="0.25">
      <c r="A86" s="4">
        <v>14</v>
      </c>
      <c r="B86" s="4">
        <v>1</v>
      </c>
      <c r="C86" s="4" t="s">
        <v>958</v>
      </c>
      <c r="D86" s="4" t="s">
        <v>133</v>
      </c>
      <c r="E86" s="4" t="s">
        <v>10</v>
      </c>
      <c r="F86" s="22">
        <v>57915</v>
      </c>
      <c r="G86" s="23" t="s">
        <v>112</v>
      </c>
      <c r="H86" s="23" t="s">
        <v>970</v>
      </c>
      <c r="I86" s="4" t="s">
        <v>85</v>
      </c>
      <c r="J86" s="23" t="s">
        <v>456</v>
      </c>
      <c r="K86" s="23" t="s">
        <v>474</v>
      </c>
      <c r="L86"/>
      <c r="M86">
        <v>33.728000000000002</v>
      </c>
      <c r="N86">
        <v>-103.958</v>
      </c>
      <c r="P86" t="s">
        <v>659</v>
      </c>
    </row>
    <row r="87" spans="1:19" ht="15.95" customHeight="1" x14ac:dyDescent="0.25">
      <c r="A87" s="4">
        <v>9</v>
      </c>
      <c r="B87" s="4">
        <v>2</v>
      </c>
      <c r="C87" s="4" t="s">
        <v>959</v>
      </c>
      <c r="D87" s="4" t="s">
        <v>133</v>
      </c>
      <c r="E87" s="4" t="s">
        <v>38</v>
      </c>
      <c r="F87" s="22">
        <v>57200</v>
      </c>
      <c r="G87" s="23" t="s">
        <v>113</v>
      </c>
      <c r="H87" t="s">
        <v>795</v>
      </c>
      <c r="I87" s="4" t="s">
        <v>90</v>
      </c>
      <c r="J87" s="23" t="s">
        <v>982</v>
      </c>
      <c r="K87" s="23" t="s">
        <v>469</v>
      </c>
      <c r="L87"/>
      <c r="M87">
        <v>36.486800000000002</v>
      </c>
      <c r="N87">
        <v>-104.958</v>
      </c>
      <c r="P87" t="s">
        <v>661</v>
      </c>
    </row>
    <row r="88" spans="1:19" ht="15.95" customHeight="1" x14ac:dyDescent="0.25">
      <c r="A88" s="4">
        <v>12</v>
      </c>
      <c r="B88" s="4">
        <v>3</v>
      </c>
      <c r="C88" s="4" t="s">
        <v>960</v>
      </c>
      <c r="D88" s="4" t="s">
        <v>133</v>
      </c>
      <c r="E88" s="4" t="s">
        <v>11</v>
      </c>
      <c r="F88" s="22">
        <v>60000</v>
      </c>
      <c r="G88" s="23" t="s">
        <v>114</v>
      </c>
      <c r="H88" s="23" t="s">
        <v>970</v>
      </c>
      <c r="I88" s="4" t="s">
        <v>125</v>
      </c>
      <c r="J88" s="23" t="s">
        <v>454</v>
      </c>
      <c r="K88" s="23" t="s">
        <v>634</v>
      </c>
      <c r="L88"/>
      <c r="M88">
        <v>32.305300000000003</v>
      </c>
      <c r="N88">
        <v>-104.3</v>
      </c>
      <c r="P88" t="s">
        <v>663</v>
      </c>
    </row>
    <row r="89" spans="1:19" ht="15.95" customHeight="1" x14ac:dyDescent="0.25">
      <c r="A89" s="4">
        <v>11</v>
      </c>
      <c r="B89" s="4">
        <v>4</v>
      </c>
      <c r="C89" s="4" t="s">
        <v>961</v>
      </c>
      <c r="D89" s="4" t="s">
        <v>133</v>
      </c>
      <c r="E89" s="4" t="s">
        <v>13</v>
      </c>
      <c r="F89" s="22">
        <v>57745</v>
      </c>
      <c r="G89" s="23" t="s">
        <v>115</v>
      </c>
      <c r="H89" s="23" t="s">
        <v>970</v>
      </c>
      <c r="I89" s="4" t="s">
        <v>126</v>
      </c>
      <c r="J89" s="23" t="s">
        <v>453</v>
      </c>
      <c r="K89" s="23" t="s">
        <v>471</v>
      </c>
      <c r="L89"/>
      <c r="M89">
        <v>33.7408</v>
      </c>
      <c r="N89">
        <v>-104.80500000000001</v>
      </c>
      <c r="P89" t="s">
        <v>665</v>
      </c>
    </row>
    <row r="90" spans="1:19" ht="15.95" customHeight="1" x14ac:dyDescent="0.25">
      <c r="A90" s="4">
        <v>7</v>
      </c>
      <c r="B90" s="4">
        <v>5</v>
      </c>
      <c r="C90" s="4" t="s">
        <v>962</v>
      </c>
      <c r="D90" s="4" t="s">
        <v>133</v>
      </c>
      <c r="E90" s="4" t="s">
        <v>15</v>
      </c>
      <c r="F90" s="22">
        <v>59884</v>
      </c>
      <c r="G90" s="23" t="s">
        <v>116</v>
      </c>
      <c r="H90" s="23" t="s">
        <v>970</v>
      </c>
      <c r="I90" s="4" t="s">
        <v>90</v>
      </c>
      <c r="J90" s="23" t="s">
        <v>449</v>
      </c>
      <c r="K90" s="23" t="s">
        <v>635</v>
      </c>
      <c r="L90"/>
      <c r="M90">
        <v>36.606900000000003</v>
      </c>
      <c r="N90">
        <v>-104.60599999999999</v>
      </c>
      <c r="P90" t="s">
        <v>667</v>
      </c>
    </row>
    <row r="91" spans="1:19" ht="15.95" customHeight="1" x14ac:dyDescent="0.25">
      <c r="A91" s="4">
        <v>8</v>
      </c>
      <c r="B91" s="4">
        <v>6</v>
      </c>
      <c r="C91" s="4" t="s">
        <v>963</v>
      </c>
      <c r="D91" s="4" t="s">
        <v>133</v>
      </c>
      <c r="E91" s="4" t="s">
        <v>36</v>
      </c>
      <c r="F91" s="22">
        <v>55125</v>
      </c>
      <c r="G91" s="23" t="s">
        <v>117</v>
      </c>
      <c r="H91" s="23" t="s">
        <v>970</v>
      </c>
      <c r="I91" s="4" t="s">
        <v>124</v>
      </c>
      <c r="J91" s="23" t="s">
        <v>983</v>
      </c>
      <c r="K91" s="23" t="s">
        <v>468</v>
      </c>
      <c r="L91"/>
      <c r="M91">
        <v>32.0702</v>
      </c>
      <c r="N91">
        <v>-107.741</v>
      </c>
      <c r="P91" t="s">
        <v>669</v>
      </c>
    </row>
    <row r="92" spans="1:19" ht="15.95" customHeight="1" x14ac:dyDescent="0.25">
      <c r="A92" s="4">
        <v>13</v>
      </c>
      <c r="B92" s="4">
        <v>7</v>
      </c>
      <c r="C92" s="4" t="s">
        <v>964</v>
      </c>
      <c r="D92" s="4" t="s">
        <v>133</v>
      </c>
      <c r="E92" s="4" t="s">
        <v>33</v>
      </c>
      <c r="F92" s="22">
        <v>59941.42</v>
      </c>
      <c r="G92" s="23" t="s">
        <v>118</v>
      </c>
      <c r="H92" t="s">
        <v>795</v>
      </c>
      <c r="I92" s="4" t="s">
        <v>128</v>
      </c>
      <c r="J92" s="23" t="s">
        <v>455</v>
      </c>
      <c r="K92" s="23" t="s">
        <v>473</v>
      </c>
      <c r="L92"/>
      <c r="M92">
        <v>33.515599999999999</v>
      </c>
      <c r="N92">
        <v>-108.806</v>
      </c>
      <c r="P92" t="s">
        <v>671</v>
      </c>
    </row>
    <row r="93" spans="1:19" ht="15.95" customHeight="1" x14ac:dyDescent="0.25">
      <c r="A93" s="4">
        <v>6</v>
      </c>
      <c r="B93" s="4">
        <v>8</v>
      </c>
      <c r="C93" s="4" t="s">
        <v>965</v>
      </c>
      <c r="D93" s="4" t="s">
        <v>133</v>
      </c>
      <c r="E93" s="4" t="s">
        <v>34</v>
      </c>
      <c r="F93" s="22">
        <v>47788.95</v>
      </c>
      <c r="G93" s="23" t="s">
        <v>119</v>
      </c>
      <c r="H93" s="23" t="s">
        <v>988</v>
      </c>
      <c r="I93" s="4" t="s">
        <v>129</v>
      </c>
      <c r="J93" s="23" t="s">
        <v>448</v>
      </c>
      <c r="K93" s="23" t="s">
        <v>654</v>
      </c>
      <c r="L93"/>
      <c r="M93">
        <v>35.9788</v>
      </c>
      <c r="N93">
        <v>-106.09699999999999</v>
      </c>
      <c r="P93" t="s">
        <v>673</v>
      </c>
    </row>
    <row r="94" spans="1:19" ht="15.95" customHeight="1" x14ac:dyDescent="0.25">
      <c r="A94" s="4">
        <v>5</v>
      </c>
      <c r="B94" s="4">
        <v>9</v>
      </c>
      <c r="C94" s="4" t="s">
        <v>966</v>
      </c>
      <c r="D94" s="4" t="s">
        <v>133</v>
      </c>
      <c r="E94" s="4" t="s">
        <v>37</v>
      </c>
      <c r="F94" s="22">
        <v>59400</v>
      </c>
      <c r="G94" s="23" t="s">
        <v>120</v>
      </c>
      <c r="H94" s="23" t="s">
        <v>970</v>
      </c>
      <c r="I94" s="4" t="s">
        <v>127</v>
      </c>
      <c r="J94" s="23" t="s">
        <v>447</v>
      </c>
      <c r="K94" s="23" t="s">
        <v>465</v>
      </c>
      <c r="L94"/>
      <c r="M94">
        <v>33.262099999999997</v>
      </c>
      <c r="N94">
        <v>-107.294</v>
      </c>
      <c r="P94" t="s">
        <v>675</v>
      </c>
    </row>
    <row r="95" spans="1:19" ht="15.95" customHeight="1" x14ac:dyDescent="0.25">
      <c r="A95" s="4">
        <v>4</v>
      </c>
      <c r="B95" s="4">
        <v>10</v>
      </c>
      <c r="C95" s="4" t="s">
        <v>967</v>
      </c>
      <c r="D95" s="4" t="s">
        <v>133</v>
      </c>
      <c r="E95" s="4" t="s">
        <v>25</v>
      </c>
      <c r="F95" s="22">
        <v>59252.6</v>
      </c>
      <c r="G95" s="23" t="s">
        <v>121</v>
      </c>
      <c r="H95" s="23" t="s">
        <v>970</v>
      </c>
      <c r="I95" s="4" t="s">
        <v>95</v>
      </c>
      <c r="J95" s="23" t="s">
        <v>446</v>
      </c>
      <c r="K95" s="23" t="s">
        <v>636</v>
      </c>
      <c r="L95"/>
      <c r="M95">
        <v>34.058626997104902</v>
      </c>
      <c r="N95">
        <v>-106.87463377302601</v>
      </c>
      <c r="P95" t="s">
        <v>677</v>
      </c>
    </row>
    <row r="96" spans="1:19" ht="15.95" customHeight="1" x14ac:dyDescent="0.25">
      <c r="A96" s="4">
        <v>15</v>
      </c>
      <c r="B96" s="4">
        <v>11</v>
      </c>
      <c r="C96" s="4" t="s">
        <v>968</v>
      </c>
      <c r="D96" s="4" t="s">
        <v>133</v>
      </c>
      <c r="E96" s="4" t="s">
        <v>35</v>
      </c>
      <c r="F96" s="22">
        <v>51150</v>
      </c>
      <c r="G96" s="23" t="s">
        <v>122</v>
      </c>
      <c r="H96" t="s">
        <v>795</v>
      </c>
      <c r="I96" s="4" t="s">
        <v>96</v>
      </c>
      <c r="J96" s="23" t="s">
        <v>457</v>
      </c>
      <c r="K96" s="23" t="s">
        <v>475</v>
      </c>
      <c r="L96"/>
      <c r="M96">
        <v>36.579900000000002</v>
      </c>
      <c r="N96">
        <v>-105.655</v>
      </c>
      <c r="P96" t="s">
        <v>679</v>
      </c>
    </row>
    <row r="97" spans="1:16" ht="15.95" customHeight="1" x14ac:dyDescent="0.25">
      <c r="A97" s="4">
        <v>1</v>
      </c>
      <c r="B97" s="4">
        <v>12</v>
      </c>
      <c r="C97" s="4" t="s">
        <v>969</v>
      </c>
      <c r="D97" s="4" t="s">
        <v>133</v>
      </c>
      <c r="E97" s="4" t="s">
        <v>29</v>
      </c>
      <c r="F97" s="22">
        <v>59934</v>
      </c>
      <c r="G97" s="23" t="s">
        <v>123</v>
      </c>
      <c r="H97" s="23" t="s">
        <v>970</v>
      </c>
      <c r="I97" s="4" t="s">
        <v>109</v>
      </c>
      <c r="J97" s="23" t="s">
        <v>984</v>
      </c>
      <c r="K97" s="23" t="s">
        <v>461</v>
      </c>
      <c r="L97"/>
      <c r="M97">
        <v>35.770299999999999</v>
      </c>
      <c r="N97">
        <v>-103.572</v>
      </c>
      <c r="P97" t="s">
        <v>681</v>
      </c>
    </row>
  </sheetData>
  <autoFilter ref="A1:S97" xr:uid="{24222F9F-445F-4A81-A9B0-70F38E2A4DDD}"/>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EE76-3C6E-4354-B5FD-BA50C57A5CC5}">
  <dimension ref="A1:H103"/>
  <sheetViews>
    <sheetView zoomScaleNormal="100" workbookViewId="0">
      <selection activeCell="L19" sqref="L19"/>
    </sheetView>
  </sheetViews>
  <sheetFormatPr defaultRowHeight="15" x14ac:dyDescent="0.25"/>
  <cols>
    <col min="1" max="1" width="6.7109375" customWidth="1"/>
    <col min="2" max="2" width="39.42578125" customWidth="1"/>
    <col min="3" max="3" width="23.85546875" customWidth="1"/>
    <col min="4" max="4" width="33.140625" customWidth="1"/>
    <col min="5" max="5" width="11.140625" style="29" bestFit="1" customWidth="1"/>
    <col min="6" max="6" width="18.5703125" customWidth="1"/>
    <col min="7" max="7" width="17.85546875" customWidth="1"/>
  </cols>
  <sheetData>
    <row r="1" spans="1:8" x14ac:dyDescent="0.25">
      <c r="A1" s="27" t="s">
        <v>746</v>
      </c>
      <c r="B1" s="27" t="s">
        <v>111</v>
      </c>
      <c r="C1" s="27" t="s">
        <v>789</v>
      </c>
      <c r="D1" s="27" t="s">
        <v>797</v>
      </c>
      <c r="E1" s="28" t="s">
        <v>798</v>
      </c>
      <c r="F1" s="27" t="s">
        <v>52</v>
      </c>
      <c r="G1" s="27" t="s">
        <v>298</v>
      </c>
      <c r="H1" s="27" t="s">
        <v>84</v>
      </c>
    </row>
    <row r="2" spans="1:8" x14ac:dyDescent="0.25">
      <c r="A2" t="s">
        <v>825</v>
      </c>
      <c r="B2" t="s">
        <v>458</v>
      </c>
      <c r="C2" t="s">
        <v>2</v>
      </c>
      <c r="D2" t="s">
        <v>790</v>
      </c>
      <c r="E2" s="29">
        <v>138812</v>
      </c>
      <c r="F2" t="s">
        <v>79</v>
      </c>
      <c r="G2" t="s">
        <v>325</v>
      </c>
      <c r="H2" t="s">
        <v>111</v>
      </c>
    </row>
    <row r="3" spans="1:8" x14ac:dyDescent="0.25">
      <c r="A3" t="s">
        <v>802</v>
      </c>
      <c r="B3" t="s">
        <v>458</v>
      </c>
      <c r="C3" t="s">
        <v>13</v>
      </c>
      <c r="D3" t="s">
        <v>790</v>
      </c>
      <c r="E3" s="29">
        <v>133000</v>
      </c>
      <c r="F3" t="s">
        <v>56</v>
      </c>
      <c r="G3" t="s">
        <v>379</v>
      </c>
      <c r="H3" t="s">
        <v>633</v>
      </c>
    </row>
    <row r="4" spans="1:8" x14ac:dyDescent="0.25">
      <c r="A4" t="s">
        <v>813</v>
      </c>
      <c r="B4" t="s">
        <v>458</v>
      </c>
      <c r="C4" t="s">
        <v>20</v>
      </c>
      <c r="D4" t="s">
        <v>790</v>
      </c>
      <c r="E4" s="29">
        <v>21120</v>
      </c>
      <c r="F4" t="s">
        <v>67</v>
      </c>
      <c r="G4" t="s">
        <v>351</v>
      </c>
      <c r="H4" t="s">
        <v>103</v>
      </c>
    </row>
    <row r="5" spans="1:8" x14ac:dyDescent="0.25">
      <c r="A5" t="s">
        <v>818</v>
      </c>
      <c r="B5" t="s">
        <v>458</v>
      </c>
      <c r="C5" t="s">
        <v>25</v>
      </c>
      <c r="D5" t="s">
        <v>790</v>
      </c>
      <c r="E5" s="29">
        <v>75000</v>
      </c>
      <c r="F5" t="s">
        <v>73</v>
      </c>
      <c r="G5" t="s">
        <v>373</v>
      </c>
      <c r="H5" t="s">
        <v>95</v>
      </c>
    </row>
    <row r="6" spans="1:8" x14ac:dyDescent="0.25">
      <c r="A6" t="s">
        <v>803</v>
      </c>
      <c r="B6" t="s">
        <v>458</v>
      </c>
      <c r="C6" t="s">
        <v>14</v>
      </c>
      <c r="D6" t="s">
        <v>790</v>
      </c>
      <c r="E6" s="29">
        <v>133000</v>
      </c>
      <c r="F6" t="s">
        <v>59</v>
      </c>
      <c r="G6" t="s">
        <v>341</v>
      </c>
      <c r="H6" t="s">
        <v>89</v>
      </c>
    </row>
    <row r="7" spans="1:8" x14ac:dyDescent="0.25">
      <c r="A7" t="s">
        <v>807</v>
      </c>
      <c r="B7" t="s">
        <v>458</v>
      </c>
      <c r="C7" t="s">
        <v>16</v>
      </c>
      <c r="D7" t="s">
        <v>790</v>
      </c>
      <c r="E7" s="29">
        <v>5382.52</v>
      </c>
      <c r="F7" t="s">
        <v>61</v>
      </c>
      <c r="G7" t="s">
        <v>331</v>
      </c>
      <c r="H7" t="s">
        <v>98</v>
      </c>
    </row>
    <row r="8" spans="1:8" x14ac:dyDescent="0.25">
      <c r="A8" t="s">
        <v>800</v>
      </c>
      <c r="B8" t="s">
        <v>458</v>
      </c>
      <c r="C8" t="s">
        <v>11</v>
      </c>
      <c r="D8" t="s">
        <v>790</v>
      </c>
      <c r="E8" s="29">
        <v>11141</v>
      </c>
      <c r="F8" t="s">
        <v>54</v>
      </c>
      <c r="G8" t="s">
        <v>339</v>
      </c>
      <c r="H8" t="s">
        <v>86</v>
      </c>
    </row>
    <row r="9" spans="1:8" x14ac:dyDescent="0.25">
      <c r="A9" t="s">
        <v>812</v>
      </c>
      <c r="B9" t="s">
        <v>458</v>
      </c>
      <c r="C9" t="s">
        <v>19</v>
      </c>
      <c r="D9" t="s">
        <v>790</v>
      </c>
      <c r="E9" s="29">
        <v>17215</v>
      </c>
      <c r="F9" t="s">
        <v>66</v>
      </c>
      <c r="G9" t="s">
        <v>374</v>
      </c>
      <c r="H9" t="s">
        <v>92</v>
      </c>
    </row>
    <row r="10" spans="1:8" x14ac:dyDescent="0.25">
      <c r="A10" t="s">
        <v>799</v>
      </c>
      <c r="B10" t="s">
        <v>458</v>
      </c>
      <c r="C10" t="s">
        <v>10</v>
      </c>
      <c r="D10" t="s">
        <v>790</v>
      </c>
      <c r="E10" s="29">
        <v>6600</v>
      </c>
      <c r="F10" t="s">
        <v>53</v>
      </c>
      <c r="G10" t="s">
        <v>343</v>
      </c>
      <c r="H10" t="s">
        <v>85</v>
      </c>
    </row>
    <row r="11" spans="1:8" x14ac:dyDescent="0.25">
      <c r="A11" t="s">
        <v>819</v>
      </c>
      <c r="B11" t="s">
        <v>458</v>
      </c>
      <c r="C11" t="s">
        <v>25</v>
      </c>
      <c r="D11" t="s">
        <v>790</v>
      </c>
      <c r="E11" s="29">
        <v>19662.8</v>
      </c>
      <c r="F11" t="s">
        <v>72</v>
      </c>
      <c r="G11" t="s">
        <v>327</v>
      </c>
      <c r="H11" t="s">
        <v>95</v>
      </c>
    </row>
    <row r="12" spans="1:8" x14ac:dyDescent="0.25">
      <c r="A12" t="s">
        <v>815</v>
      </c>
      <c r="B12" t="s">
        <v>458</v>
      </c>
      <c r="C12" t="s">
        <v>22</v>
      </c>
      <c r="D12" t="s">
        <v>790</v>
      </c>
      <c r="E12" s="29">
        <v>21120</v>
      </c>
      <c r="F12" t="s">
        <v>69</v>
      </c>
      <c r="G12" t="s">
        <v>350</v>
      </c>
      <c r="H12" t="s">
        <v>104</v>
      </c>
    </row>
    <row r="13" spans="1:8" x14ac:dyDescent="0.25">
      <c r="A13" t="s">
        <v>814</v>
      </c>
      <c r="B13" t="s">
        <v>458</v>
      </c>
      <c r="C13" t="s">
        <v>21</v>
      </c>
      <c r="D13" t="s">
        <v>790</v>
      </c>
      <c r="E13" s="29">
        <v>13600</v>
      </c>
      <c r="F13" t="s">
        <v>68</v>
      </c>
      <c r="G13" t="s">
        <v>363</v>
      </c>
      <c r="H13" t="s">
        <v>93</v>
      </c>
    </row>
    <row r="14" spans="1:8" x14ac:dyDescent="0.25">
      <c r="A14" t="s">
        <v>801</v>
      </c>
      <c r="B14" t="s">
        <v>458</v>
      </c>
      <c r="C14" t="s">
        <v>12</v>
      </c>
      <c r="D14" t="s">
        <v>790</v>
      </c>
      <c r="E14" s="29">
        <v>14998</v>
      </c>
      <c r="F14" t="s">
        <v>55</v>
      </c>
      <c r="G14" t="s">
        <v>360</v>
      </c>
      <c r="H14" t="s">
        <v>87</v>
      </c>
    </row>
    <row r="15" spans="1:8" x14ac:dyDescent="0.25">
      <c r="A15" t="s">
        <v>820</v>
      </c>
      <c r="B15" t="s">
        <v>458</v>
      </c>
      <c r="C15" t="s">
        <v>130</v>
      </c>
      <c r="D15" t="s">
        <v>790</v>
      </c>
      <c r="E15" s="29">
        <v>75659</v>
      </c>
      <c r="F15" t="s">
        <v>74</v>
      </c>
      <c r="G15" t="s">
        <v>326</v>
      </c>
      <c r="H15" t="s">
        <v>100</v>
      </c>
    </row>
    <row r="16" spans="1:8" x14ac:dyDescent="0.25">
      <c r="A16" t="s">
        <v>828</v>
      </c>
      <c r="B16" t="s">
        <v>458</v>
      </c>
      <c r="C16" t="s">
        <v>30</v>
      </c>
      <c r="D16" t="s">
        <v>790</v>
      </c>
      <c r="E16" s="29">
        <v>18003</v>
      </c>
      <c r="F16" t="s">
        <v>82</v>
      </c>
      <c r="G16" t="s">
        <v>332</v>
      </c>
      <c r="H16" t="s">
        <v>110</v>
      </c>
    </row>
    <row r="17" spans="1:8" x14ac:dyDescent="0.25">
      <c r="A17" t="s">
        <v>829</v>
      </c>
      <c r="B17" t="s">
        <v>458</v>
      </c>
      <c r="C17" t="s">
        <v>30</v>
      </c>
      <c r="D17" t="s">
        <v>790</v>
      </c>
      <c r="E17" s="29">
        <v>19822.169999999998</v>
      </c>
      <c r="F17" t="s">
        <v>83</v>
      </c>
      <c r="G17" t="s">
        <v>333</v>
      </c>
      <c r="H17" t="s">
        <v>110</v>
      </c>
    </row>
    <row r="18" spans="1:8" x14ac:dyDescent="0.25">
      <c r="A18" t="s">
        <v>809</v>
      </c>
      <c r="B18" t="s">
        <v>458</v>
      </c>
      <c r="C18" t="s">
        <v>101</v>
      </c>
      <c r="D18" t="s">
        <v>790</v>
      </c>
      <c r="E18" s="29">
        <v>24475</v>
      </c>
      <c r="F18" t="s">
        <v>63</v>
      </c>
      <c r="G18" t="s">
        <v>369</v>
      </c>
      <c r="H18" t="s">
        <v>91</v>
      </c>
    </row>
    <row r="19" spans="1:8" x14ac:dyDescent="0.25">
      <c r="A19" t="s">
        <v>804</v>
      </c>
      <c r="B19" t="s">
        <v>458</v>
      </c>
      <c r="C19" t="s">
        <v>14</v>
      </c>
      <c r="D19" t="s">
        <v>790</v>
      </c>
      <c r="E19" s="29">
        <v>17267.939999999999</v>
      </c>
      <c r="F19" t="s">
        <v>57</v>
      </c>
      <c r="G19" t="s">
        <v>378</v>
      </c>
      <c r="H19" t="s">
        <v>89</v>
      </c>
    </row>
    <row r="20" spans="1:8" x14ac:dyDescent="0.25">
      <c r="A20" t="s">
        <v>805</v>
      </c>
      <c r="B20" t="s">
        <v>458</v>
      </c>
      <c r="C20" t="s">
        <v>14</v>
      </c>
      <c r="D20" t="s">
        <v>790</v>
      </c>
      <c r="E20" s="29">
        <v>25000</v>
      </c>
      <c r="F20" t="s">
        <v>58</v>
      </c>
      <c r="G20" t="s">
        <v>328</v>
      </c>
      <c r="H20" t="s">
        <v>89</v>
      </c>
    </row>
    <row r="21" spans="1:8" x14ac:dyDescent="0.25">
      <c r="A21" t="s">
        <v>824</v>
      </c>
      <c r="B21" t="s">
        <v>458</v>
      </c>
      <c r="C21" t="s">
        <v>28</v>
      </c>
      <c r="D21" t="s">
        <v>790</v>
      </c>
      <c r="E21" s="29">
        <v>14753.24</v>
      </c>
      <c r="F21" t="s">
        <v>78</v>
      </c>
      <c r="G21" t="s">
        <v>340</v>
      </c>
      <c r="H21" t="s">
        <v>108</v>
      </c>
    </row>
    <row r="22" spans="1:8" x14ac:dyDescent="0.25">
      <c r="A22" t="s">
        <v>817</v>
      </c>
      <c r="B22" t="s">
        <v>458</v>
      </c>
      <c r="C22" t="s">
        <v>131</v>
      </c>
      <c r="D22" t="s">
        <v>790</v>
      </c>
      <c r="E22" s="29">
        <v>20000</v>
      </c>
      <c r="F22" t="s">
        <v>71</v>
      </c>
      <c r="G22" t="s">
        <v>347</v>
      </c>
      <c r="H22" t="s">
        <v>107</v>
      </c>
    </row>
    <row r="23" spans="1:8" x14ac:dyDescent="0.25">
      <c r="A23" t="s">
        <v>826</v>
      </c>
      <c r="B23" t="s">
        <v>458</v>
      </c>
      <c r="C23" t="s">
        <v>29</v>
      </c>
      <c r="D23" t="s">
        <v>790</v>
      </c>
      <c r="E23" s="29">
        <v>14921.5</v>
      </c>
      <c r="F23" t="s">
        <v>80</v>
      </c>
      <c r="G23" t="s">
        <v>371</v>
      </c>
      <c r="H23" t="s">
        <v>109</v>
      </c>
    </row>
    <row r="24" spans="1:8" x14ac:dyDescent="0.25">
      <c r="A24" t="s">
        <v>827</v>
      </c>
      <c r="B24" t="s">
        <v>458</v>
      </c>
      <c r="C24" t="s">
        <v>29</v>
      </c>
      <c r="D24" t="s">
        <v>790</v>
      </c>
      <c r="E24" s="29">
        <v>24530</v>
      </c>
      <c r="F24" t="s">
        <v>81</v>
      </c>
      <c r="G24" t="s">
        <v>372</v>
      </c>
      <c r="H24" t="s">
        <v>109</v>
      </c>
    </row>
    <row r="25" spans="1:8" x14ac:dyDescent="0.25">
      <c r="A25" t="s">
        <v>808</v>
      </c>
      <c r="B25" t="s">
        <v>458</v>
      </c>
      <c r="C25" t="s">
        <v>17</v>
      </c>
      <c r="D25" t="s">
        <v>790</v>
      </c>
      <c r="E25" s="29">
        <v>20000</v>
      </c>
      <c r="F25" t="s">
        <v>62</v>
      </c>
      <c r="G25" t="s">
        <v>364</v>
      </c>
      <c r="H25" t="s">
        <v>99</v>
      </c>
    </row>
    <row r="26" spans="1:8" x14ac:dyDescent="0.25">
      <c r="A26" t="s">
        <v>821</v>
      </c>
      <c r="B26" t="s">
        <v>458</v>
      </c>
      <c r="C26" t="s">
        <v>27</v>
      </c>
      <c r="D26" t="s">
        <v>790</v>
      </c>
      <c r="E26" s="29">
        <v>18177</v>
      </c>
      <c r="F26" t="s">
        <v>75</v>
      </c>
      <c r="G26" t="s">
        <v>345</v>
      </c>
      <c r="H26" t="s">
        <v>96</v>
      </c>
    </row>
    <row r="27" spans="1:8" x14ac:dyDescent="0.25">
      <c r="A27" t="s">
        <v>822</v>
      </c>
      <c r="B27" t="s">
        <v>458</v>
      </c>
      <c r="C27" t="s">
        <v>27</v>
      </c>
      <c r="D27" t="s">
        <v>790</v>
      </c>
      <c r="E27" s="29">
        <v>15000</v>
      </c>
      <c r="F27" t="s">
        <v>76</v>
      </c>
      <c r="G27" t="s">
        <v>376</v>
      </c>
      <c r="H27" t="s">
        <v>96</v>
      </c>
    </row>
    <row r="28" spans="1:8" x14ac:dyDescent="0.25">
      <c r="A28" t="s">
        <v>823</v>
      </c>
      <c r="B28" t="s">
        <v>458</v>
      </c>
      <c r="C28" t="s">
        <v>27</v>
      </c>
      <c r="D28" t="s">
        <v>790</v>
      </c>
      <c r="E28" s="29">
        <v>59983</v>
      </c>
      <c r="F28" t="s">
        <v>77</v>
      </c>
      <c r="G28" t="s">
        <v>330</v>
      </c>
      <c r="H28" t="s">
        <v>96</v>
      </c>
    </row>
    <row r="29" spans="1:8" x14ac:dyDescent="0.25">
      <c r="A29" t="s">
        <v>810</v>
      </c>
      <c r="B29" t="s">
        <v>458</v>
      </c>
      <c r="C29" t="s">
        <v>18</v>
      </c>
      <c r="D29" t="s">
        <v>790</v>
      </c>
      <c r="E29" s="29">
        <v>7030</v>
      </c>
      <c r="F29" t="s">
        <v>64</v>
      </c>
      <c r="G29" t="s">
        <v>375</v>
      </c>
      <c r="H29" t="s">
        <v>102</v>
      </c>
    </row>
    <row r="30" spans="1:8" x14ac:dyDescent="0.25">
      <c r="A30" t="s">
        <v>811</v>
      </c>
      <c r="B30" t="s">
        <v>458</v>
      </c>
      <c r="C30" t="s">
        <v>18</v>
      </c>
      <c r="D30" t="s">
        <v>790</v>
      </c>
      <c r="E30" s="29">
        <v>20492.830000000002</v>
      </c>
      <c r="F30" t="s">
        <v>65</v>
      </c>
      <c r="G30" t="s">
        <v>362</v>
      </c>
      <c r="H30" t="s">
        <v>102</v>
      </c>
    </row>
    <row r="31" spans="1:8" x14ac:dyDescent="0.25">
      <c r="A31" t="s">
        <v>816</v>
      </c>
      <c r="B31" t="s">
        <v>458</v>
      </c>
      <c r="C31" t="s">
        <v>23</v>
      </c>
      <c r="D31" t="s">
        <v>790</v>
      </c>
      <c r="E31" s="29">
        <v>15000</v>
      </c>
      <c r="F31" t="s">
        <v>70</v>
      </c>
      <c r="G31" t="s">
        <v>342</v>
      </c>
      <c r="H31" t="s">
        <v>105</v>
      </c>
    </row>
    <row r="32" spans="1:8" x14ac:dyDescent="0.25">
      <c r="A32" s="2" t="s">
        <v>806</v>
      </c>
      <c r="B32" s="2" t="s">
        <v>458</v>
      </c>
      <c r="C32" s="2" t="s">
        <v>15</v>
      </c>
      <c r="D32" s="2" t="s">
        <v>790</v>
      </c>
      <c r="E32" s="30">
        <v>18180</v>
      </c>
      <c r="F32" s="2" t="s">
        <v>60</v>
      </c>
      <c r="G32" s="2" t="s">
        <v>338</v>
      </c>
      <c r="H32" s="2" t="s">
        <v>90</v>
      </c>
    </row>
    <row r="34" spans="1:8" x14ac:dyDescent="0.25">
      <c r="A34" s="27" t="s">
        <v>746</v>
      </c>
      <c r="B34" s="27" t="s">
        <v>111</v>
      </c>
      <c r="C34" s="27" t="s">
        <v>789</v>
      </c>
      <c r="D34" s="27" t="s">
        <v>797</v>
      </c>
      <c r="E34" s="28" t="s">
        <v>798</v>
      </c>
      <c r="F34" s="27" t="s">
        <v>52</v>
      </c>
      <c r="G34" s="27" t="s">
        <v>298</v>
      </c>
      <c r="H34" s="27" t="s">
        <v>84</v>
      </c>
    </row>
    <row r="35" spans="1:8" x14ac:dyDescent="0.25">
      <c r="A35" t="s">
        <v>840</v>
      </c>
      <c r="B35" t="s">
        <v>134</v>
      </c>
      <c r="C35" t="s">
        <v>130</v>
      </c>
      <c r="D35" t="s">
        <v>790</v>
      </c>
      <c r="E35" s="29">
        <v>65796</v>
      </c>
      <c r="F35" t="s">
        <v>421</v>
      </c>
      <c r="G35" t="s">
        <v>403</v>
      </c>
      <c r="H35" t="s">
        <v>100</v>
      </c>
    </row>
    <row r="36" spans="1:8" x14ac:dyDescent="0.25">
      <c r="A36" t="s">
        <v>843</v>
      </c>
      <c r="B36" t="s">
        <v>134</v>
      </c>
      <c r="C36" t="s">
        <v>30</v>
      </c>
      <c r="D36" t="s">
        <v>790</v>
      </c>
      <c r="E36" s="29">
        <v>44191.87</v>
      </c>
      <c r="F36" t="s">
        <v>415</v>
      </c>
      <c r="G36" t="s">
        <v>397</v>
      </c>
      <c r="H36" t="s">
        <v>97</v>
      </c>
    </row>
    <row r="37" spans="1:8" x14ac:dyDescent="0.25">
      <c r="A37" t="s">
        <v>833</v>
      </c>
      <c r="B37" t="s">
        <v>134</v>
      </c>
      <c r="C37" t="s">
        <v>14</v>
      </c>
      <c r="D37" t="s">
        <v>790</v>
      </c>
      <c r="E37" s="29">
        <v>31991.51</v>
      </c>
      <c r="F37" t="s">
        <v>424</v>
      </c>
      <c r="G37" t="s">
        <v>406</v>
      </c>
      <c r="H37" t="s">
        <v>387</v>
      </c>
    </row>
    <row r="38" spans="1:8" x14ac:dyDescent="0.25">
      <c r="A38" t="s">
        <v>837</v>
      </c>
      <c r="B38" t="s">
        <v>134</v>
      </c>
      <c r="C38" t="s">
        <v>427</v>
      </c>
      <c r="D38" t="s">
        <v>792</v>
      </c>
      <c r="E38" s="29">
        <v>94997.759999999995</v>
      </c>
      <c r="F38" t="s">
        <v>410</v>
      </c>
      <c r="G38" t="s">
        <v>392</v>
      </c>
      <c r="H38" t="s">
        <v>100</v>
      </c>
    </row>
    <row r="39" spans="1:8" x14ac:dyDescent="0.25">
      <c r="A39" t="s">
        <v>835</v>
      </c>
      <c r="B39" t="s">
        <v>134</v>
      </c>
      <c r="C39" t="s">
        <v>17</v>
      </c>
      <c r="D39" t="s">
        <v>790</v>
      </c>
      <c r="E39" s="29">
        <v>53581.3</v>
      </c>
      <c r="F39" t="s">
        <v>413</v>
      </c>
      <c r="G39" t="s">
        <v>395</v>
      </c>
      <c r="H39" t="s">
        <v>99</v>
      </c>
    </row>
    <row r="40" spans="1:8" x14ac:dyDescent="0.25">
      <c r="A40" t="s">
        <v>841</v>
      </c>
      <c r="B40" t="s">
        <v>134</v>
      </c>
      <c r="C40" t="s">
        <v>27</v>
      </c>
      <c r="D40" t="s">
        <v>790</v>
      </c>
      <c r="E40" s="29">
        <v>109340.5</v>
      </c>
      <c r="F40" t="s">
        <v>419</v>
      </c>
      <c r="G40" t="s">
        <v>401</v>
      </c>
      <c r="H40" t="s">
        <v>96</v>
      </c>
    </row>
    <row r="41" spans="1:8" x14ac:dyDescent="0.25">
      <c r="A41" t="s">
        <v>844</v>
      </c>
      <c r="B41" t="s">
        <v>134</v>
      </c>
      <c r="C41" t="s">
        <v>433</v>
      </c>
      <c r="D41" t="s">
        <v>793</v>
      </c>
      <c r="E41" s="29">
        <v>24422.34</v>
      </c>
      <c r="F41" t="s">
        <v>418</v>
      </c>
      <c r="G41" t="s">
        <v>400</v>
      </c>
      <c r="H41" t="s">
        <v>96</v>
      </c>
    </row>
    <row r="42" spans="1:8" x14ac:dyDescent="0.25">
      <c r="A42" t="s">
        <v>838</v>
      </c>
      <c r="B42" t="s">
        <v>134</v>
      </c>
      <c r="C42" t="s">
        <v>18</v>
      </c>
      <c r="D42" t="s">
        <v>790</v>
      </c>
      <c r="E42" s="29">
        <v>84099</v>
      </c>
      <c r="F42" t="s">
        <v>412</v>
      </c>
      <c r="G42" t="s">
        <v>394</v>
      </c>
      <c r="H42" t="s">
        <v>102</v>
      </c>
    </row>
    <row r="43" spans="1:8" x14ac:dyDescent="0.25">
      <c r="A43" t="s">
        <v>839</v>
      </c>
      <c r="B43" t="s">
        <v>134</v>
      </c>
      <c r="C43" t="s">
        <v>434</v>
      </c>
      <c r="D43" t="s">
        <v>793</v>
      </c>
      <c r="E43" s="29">
        <v>28795.85</v>
      </c>
      <c r="F43" t="s">
        <v>416</v>
      </c>
      <c r="G43" t="s">
        <v>398</v>
      </c>
      <c r="H43" t="s">
        <v>96</v>
      </c>
    </row>
    <row r="44" spans="1:8" x14ac:dyDescent="0.25">
      <c r="A44" t="s">
        <v>830</v>
      </c>
      <c r="B44" t="s">
        <v>134</v>
      </c>
      <c r="C44" t="s">
        <v>132</v>
      </c>
      <c r="D44" t="s">
        <v>790</v>
      </c>
      <c r="E44" s="29">
        <v>25985.47</v>
      </c>
      <c r="F44" t="s">
        <v>407</v>
      </c>
      <c r="G44" t="s">
        <v>389</v>
      </c>
      <c r="H44" t="s">
        <v>384</v>
      </c>
    </row>
    <row r="45" spans="1:8" x14ac:dyDescent="0.25">
      <c r="A45" t="s">
        <v>831</v>
      </c>
      <c r="B45" t="s">
        <v>134</v>
      </c>
      <c r="C45" t="s">
        <v>13</v>
      </c>
      <c r="D45" t="s">
        <v>790</v>
      </c>
      <c r="E45" s="29">
        <v>114994.22</v>
      </c>
      <c r="F45" t="s">
        <v>420</v>
      </c>
      <c r="G45" t="s">
        <v>402</v>
      </c>
      <c r="H45" t="s">
        <v>126</v>
      </c>
    </row>
    <row r="46" spans="1:8" x14ac:dyDescent="0.25">
      <c r="A46" t="s">
        <v>832</v>
      </c>
      <c r="B46" t="s">
        <v>134</v>
      </c>
      <c r="C46" t="s">
        <v>14</v>
      </c>
      <c r="D46" t="s">
        <v>790</v>
      </c>
      <c r="E46" s="29">
        <v>71128.33</v>
      </c>
      <c r="F46" t="s">
        <v>423</v>
      </c>
      <c r="G46" t="s">
        <v>405</v>
      </c>
      <c r="H46" t="s">
        <v>387</v>
      </c>
    </row>
    <row r="47" spans="1:8" x14ac:dyDescent="0.25">
      <c r="A47" t="s">
        <v>834</v>
      </c>
      <c r="B47" t="s">
        <v>134</v>
      </c>
      <c r="C47" t="s">
        <v>767</v>
      </c>
      <c r="D47" t="s">
        <v>790</v>
      </c>
      <c r="E47" s="29">
        <v>31885.53</v>
      </c>
      <c r="F47" t="s">
        <v>409</v>
      </c>
      <c r="G47" t="s">
        <v>391</v>
      </c>
      <c r="H47" t="s">
        <v>384</v>
      </c>
    </row>
    <row r="48" spans="1:8" x14ac:dyDescent="0.25">
      <c r="A48" t="s">
        <v>836</v>
      </c>
      <c r="B48" t="s">
        <v>134</v>
      </c>
      <c r="C48" t="s">
        <v>101</v>
      </c>
      <c r="D48" t="s">
        <v>790</v>
      </c>
      <c r="E48" s="29">
        <v>104208.4</v>
      </c>
      <c r="F48" t="s">
        <v>411</v>
      </c>
      <c r="G48" t="s">
        <v>393</v>
      </c>
      <c r="H48" t="s">
        <v>91</v>
      </c>
    </row>
    <row r="49" spans="1:8" x14ac:dyDescent="0.25">
      <c r="A49" s="2" t="s">
        <v>842</v>
      </c>
      <c r="B49" s="2" t="s">
        <v>134</v>
      </c>
      <c r="C49" s="2" t="s">
        <v>30</v>
      </c>
      <c r="D49" s="2" t="s">
        <v>790</v>
      </c>
      <c r="E49" s="30">
        <v>6475.86</v>
      </c>
      <c r="F49" s="2" t="s">
        <v>417</v>
      </c>
      <c r="G49" s="2" t="s">
        <v>399</v>
      </c>
      <c r="H49" s="2" t="s">
        <v>386</v>
      </c>
    </row>
    <row r="51" spans="1:8" x14ac:dyDescent="0.25">
      <c r="A51" s="27" t="s">
        <v>746</v>
      </c>
      <c r="B51" s="27" t="s">
        <v>111</v>
      </c>
      <c r="C51" s="27" t="s">
        <v>789</v>
      </c>
      <c r="D51" s="27" t="s">
        <v>797</v>
      </c>
      <c r="E51" s="28" t="s">
        <v>798</v>
      </c>
      <c r="F51" s="27" t="s">
        <v>52</v>
      </c>
      <c r="G51" s="27" t="s">
        <v>298</v>
      </c>
      <c r="H51" s="27" t="s">
        <v>84</v>
      </c>
    </row>
    <row r="52" spans="1:8" x14ac:dyDescent="0.25">
      <c r="A52" t="s">
        <v>872</v>
      </c>
      <c r="B52" t="s">
        <v>135</v>
      </c>
      <c r="C52" t="s">
        <v>169</v>
      </c>
      <c r="D52" t="s">
        <v>794</v>
      </c>
      <c r="E52" s="29">
        <v>21528</v>
      </c>
      <c r="G52" t="s">
        <v>257</v>
      </c>
      <c r="H52" t="s">
        <v>226</v>
      </c>
    </row>
    <row r="53" spans="1:8" x14ac:dyDescent="0.25">
      <c r="A53" t="s">
        <v>845</v>
      </c>
      <c r="B53" t="s">
        <v>135</v>
      </c>
      <c r="C53" t="s">
        <v>140</v>
      </c>
      <c r="D53" t="s">
        <v>794</v>
      </c>
      <c r="E53" s="29">
        <v>7060.66</v>
      </c>
      <c r="G53" t="s">
        <v>267</v>
      </c>
      <c r="H53" t="s">
        <v>216</v>
      </c>
    </row>
    <row r="54" spans="1:8" x14ac:dyDescent="0.25">
      <c r="A54" t="s">
        <v>846</v>
      </c>
      <c r="B54" t="s">
        <v>135</v>
      </c>
      <c r="C54" t="s">
        <v>185</v>
      </c>
      <c r="D54" t="s">
        <v>794</v>
      </c>
      <c r="E54" s="29">
        <v>18777.060000000001</v>
      </c>
      <c r="G54" t="s">
        <v>279</v>
      </c>
      <c r="H54" t="s">
        <v>216</v>
      </c>
    </row>
    <row r="55" spans="1:8" x14ac:dyDescent="0.25">
      <c r="A55" t="s">
        <v>847</v>
      </c>
      <c r="B55" t="s">
        <v>135</v>
      </c>
      <c r="C55" t="s">
        <v>188</v>
      </c>
      <c r="D55" t="s">
        <v>794</v>
      </c>
      <c r="E55" s="29">
        <v>22232.15</v>
      </c>
      <c r="G55" t="s">
        <v>282</v>
      </c>
      <c r="H55" t="s">
        <v>224</v>
      </c>
    </row>
    <row r="56" spans="1:8" x14ac:dyDescent="0.25">
      <c r="A56" t="s">
        <v>848</v>
      </c>
      <c r="B56" t="s">
        <v>135</v>
      </c>
      <c r="C56" t="s">
        <v>208</v>
      </c>
      <c r="D56" t="s">
        <v>794</v>
      </c>
      <c r="E56" s="29">
        <v>17883.740000000002</v>
      </c>
      <c r="G56" t="s">
        <v>273</v>
      </c>
      <c r="H56" t="s">
        <v>226</v>
      </c>
    </row>
    <row r="57" spans="1:8" x14ac:dyDescent="0.25">
      <c r="A57" t="s">
        <v>849</v>
      </c>
      <c r="B57" t="s">
        <v>135</v>
      </c>
      <c r="C57" t="s">
        <v>207</v>
      </c>
      <c r="D57" t="s">
        <v>794</v>
      </c>
      <c r="E57" s="29">
        <v>21849.64</v>
      </c>
      <c r="G57" t="s">
        <v>272</v>
      </c>
      <c r="H57" t="s">
        <v>226</v>
      </c>
    </row>
    <row r="58" spans="1:8" x14ac:dyDescent="0.25">
      <c r="A58" t="s">
        <v>850</v>
      </c>
      <c r="B58" t="s">
        <v>135</v>
      </c>
      <c r="C58" t="s">
        <v>204</v>
      </c>
      <c r="D58" t="s">
        <v>794</v>
      </c>
      <c r="E58" s="29">
        <v>21517.74</v>
      </c>
      <c r="G58" t="s">
        <v>292</v>
      </c>
      <c r="H58" t="s">
        <v>226</v>
      </c>
    </row>
    <row r="59" spans="1:8" x14ac:dyDescent="0.25">
      <c r="A59" t="s">
        <v>851</v>
      </c>
      <c r="B59" t="s">
        <v>135</v>
      </c>
      <c r="C59" t="s">
        <v>766</v>
      </c>
      <c r="D59" t="s">
        <v>794</v>
      </c>
      <c r="E59" s="29">
        <v>6447.15</v>
      </c>
      <c r="G59" t="s">
        <v>290</v>
      </c>
      <c r="H59" t="s">
        <v>218</v>
      </c>
    </row>
    <row r="60" spans="1:8" x14ac:dyDescent="0.25">
      <c r="A60" t="s">
        <v>852</v>
      </c>
      <c r="B60" t="s">
        <v>135</v>
      </c>
      <c r="C60" t="s">
        <v>144</v>
      </c>
      <c r="D60" t="s">
        <v>794</v>
      </c>
      <c r="E60" s="29">
        <v>11097.94</v>
      </c>
      <c r="G60" t="s">
        <v>248</v>
      </c>
      <c r="H60" t="s">
        <v>223</v>
      </c>
    </row>
    <row r="61" spans="1:8" x14ac:dyDescent="0.25">
      <c r="A61" t="s">
        <v>853</v>
      </c>
      <c r="B61" t="s">
        <v>135</v>
      </c>
      <c r="C61" t="s">
        <v>760</v>
      </c>
      <c r="D61" t="s">
        <v>794</v>
      </c>
      <c r="E61" s="29">
        <v>14005.25</v>
      </c>
      <c r="G61" t="s">
        <v>255</v>
      </c>
      <c r="H61" t="s">
        <v>225</v>
      </c>
    </row>
    <row r="62" spans="1:8" x14ac:dyDescent="0.25">
      <c r="A62" t="s">
        <v>854</v>
      </c>
      <c r="B62" t="s">
        <v>135</v>
      </c>
      <c r="C62" t="s">
        <v>197</v>
      </c>
      <c r="D62" t="s">
        <v>794</v>
      </c>
      <c r="E62" s="29">
        <v>10958.54</v>
      </c>
      <c r="G62" t="s">
        <v>293</v>
      </c>
      <c r="H62" t="s">
        <v>220</v>
      </c>
    </row>
    <row r="63" spans="1:8" x14ac:dyDescent="0.25">
      <c r="A63" t="s">
        <v>855</v>
      </c>
      <c r="B63" t="s">
        <v>135</v>
      </c>
      <c r="C63" t="s">
        <v>176</v>
      </c>
      <c r="D63" t="s">
        <v>794</v>
      </c>
      <c r="E63" s="29">
        <v>11542.9</v>
      </c>
      <c r="G63" t="s">
        <v>264</v>
      </c>
      <c r="H63" t="s">
        <v>221</v>
      </c>
    </row>
    <row r="64" spans="1:8" x14ac:dyDescent="0.25">
      <c r="A64" t="s">
        <v>856</v>
      </c>
      <c r="B64" t="s">
        <v>135</v>
      </c>
      <c r="C64" t="s">
        <v>143</v>
      </c>
      <c r="D64" t="s">
        <v>794</v>
      </c>
      <c r="E64" s="29">
        <v>13497.75</v>
      </c>
      <c r="G64" t="s">
        <v>283</v>
      </c>
      <c r="H64" t="s">
        <v>216</v>
      </c>
    </row>
    <row r="65" spans="1:8" x14ac:dyDescent="0.25">
      <c r="A65" t="s">
        <v>857</v>
      </c>
      <c r="B65" t="s">
        <v>135</v>
      </c>
      <c r="C65" t="s">
        <v>205</v>
      </c>
      <c r="D65" t="s">
        <v>794</v>
      </c>
      <c r="E65" s="29">
        <v>21517.74</v>
      </c>
      <c r="G65" t="s">
        <v>269</v>
      </c>
      <c r="H65" t="s">
        <v>226</v>
      </c>
    </row>
    <row r="66" spans="1:8" x14ac:dyDescent="0.25">
      <c r="A66" t="s">
        <v>858</v>
      </c>
      <c r="B66" t="s">
        <v>135</v>
      </c>
      <c r="C66" t="s">
        <v>209</v>
      </c>
      <c r="D66" t="s">
        <v>794</v>
      </c>
      <c r="E66" s="29">
        <v>18160.900000000001</v>
      </c>
      <c r="G66" t="s">
        <v>297</v>
      </c>
      <c r="H66" t="s">
        <v>227</v>
      </c>
    </row>
    <row r="67" spans="1:8" x14ac:dyDescent="0.25">
      <c r="A67" t="s">
        <v>859</v>
      </c>
      <c r="B67" t="s">
        <v>135</v>
      </c>
      <c r="C67" t="s">
        <v>175</v>
      </c>
      <c r="D67" t="s">
        <v>794</v>
      </c>
      <c r="E67" s="29">
        <v>6911.28</v>
      </c>
      <c r="G67" t="s">
        <v>263</v>
      </c>
      <c r="H67" t="s">
        <v>221</v>
      </c>
    </row>
    <row r="68" spans="1:8" x14ac:dyDescent="0.25">
      <c r="A68" t="s">
        <v>860</v>
      </c>
      <c r="B68" t="s">
        <v>135</v>
      </c>
      <c r="C68" t="s">
        <v>145</v>
      </c>
      <c r="D68" t="s">
        <v>794</v>
      </c>
      <c r="E68" s="29">
        <v>3193.01</v>
      </c>
      <c r="G68" t="s">
        <v>249</v>
      </c>
      <c r="H68" t="s">
        <v>221</v>
      </c>
    </row>
    <row r="69" spans="1:8" x14ac:dyDescent="0.25">
      <c r="A69" t="s">
        <v>861</v>
      </c>
      <c r="B69" t="s">
        <v>135</v>
      </c>
      <c r="C69" t="s">
        <v>186</v>
      </c>
      <c r="D69" t="s">
        <v>794</v>
      </c>
      <c r="E69" s="29">
        <v>20705.439999999999</v>
      </c>
      <c r="G69" t="s">
        <v>280</v>
      </c>
      <c r="H69" t="s">
        <v>216</v>
      </c>
    </row>
    <row r="70" spans="1:8" x14ac:dyDescent="0.25">
      <c r="A70" t="s">
        <v>862</v>
      </c>
      <c r="B70" t="s">
        <v>135</v>
      </c>
      <c r="C70" t="s">
        <v>141</v>
      </c>
      <c r="D70" t="s">
        <v>794</v>
      </c>
      <c r="E70" s="29">
        <v>16622.86</v>
      </c>
      <c r="G70" t="s">
        <v>277</v>
      </c>
      <c r="H70" t="s">
        <v>226</v>
      </c>
    </row>
    <row r="71" spans="1:8" x14ac:dyDescent="0.25">
      <c r="A71" t="s">
        <v>863</v>
      </c>
      <c r="B71" t="s">
        <v>135</v>
      </c>
      <c r="C71" t="s">
        <v>177</v>
      </c>
      <c r="D71" t="s">
        <v>794</v>
      </c>
      <c r="E71" s="29">
        <v>13162.84</v>
      </c>
      <c r="G71" t="s">
        <v>266</v>
      </c>
      <c r="H71" t="s">
        <v>216</v>
      </c>
    </row>
    <row r="72" spans="1:8" x14ac:dyDescent="0.25">
      <c r="A72" t="s">
        <v>864</v>
      </c>
      <c r="B72" t="s">
        <v>135</v>
      </c>
      <c r="C72" t="s">
        <v>193</v>
      </c>
      <c r="D72" t="s">
        <v>794</v>
      </c>
      <c r="E72" s="29">
        <v>8243.67</v>
      </c>
      <c r="G72" t="s">
        <v>288</v>
      </c>
      <c r="H72" t="s">
        <v>215</v>
      </c>
    </row>
    <row r="73" spans="1:8" x14ac:dyDescent="0.25">
      <c r="A73" t="s">
        <v>865</v>
      </c>
      <c r="B73" t="s">
        <v>135</v>
      </c>
      <c r="C73" t="s">
        <v>137</v>
      </c>
      <c r="D73" t="s">
        <v>794</v>
      </c>
      <c r="E73" s="29">
        <v>4290.96</v>
      </c>
      <c r="G73" t="s">
        <v>247</v>
      </c>
      <c r="H73" t="s">
        <v>223</v>
      </c>
    </row>
    <row r="74" spans="1:8" x14ac:dyDescent="0.25">
      <c r="A74" t="s">
        <v>866</v>
      </c>
      <c r="B74" t="s">
        <v>135</v>
      </c>
      <c r="C74" t="s">
        <v>136</v>
      </c>
      <c r="D74" t="s">
        <v>794</v>
      </c>
      <c r="E74" s="29">
        <v>11491.48</v>
      </c>
      <c r="G74" t="s">
        <v>244</v>
      </c>
      <c r="H74" t="s">
        <v>222</v>
      </c>
    </row>
    <row r="75" spans="1:8" x14ac:dyDescent="0.25">
      <c r="A75" t="s">
        <v>867</v>
      </c>
      <c r="B75" t="s">
        <v>135</v>
      </c>
      <c r="C75" t="s">
        <v>761</v>
      </c>
      <c r="D75" t="s">
        <v>794</v>
      </c>
      <c r="E75" s="29">
        <v>19263</v>
      </c>
      <c r="G75" t="s">
        <v>296</v>
      </c>
      <c r="H75" t="s">
        <v>212</v>
      </c>
    </row>
    <row r="76" spans="1:8" x14ac:dyDescent="0.25">
      <c r="A76" t="s">
        <v>868</v>
      </c>
      <c r="B76" t="s">
        <v>135</v>
      </c>
      <c r="C76" t="s">
        <v>138</v>
      </c>
      <c r="D76" t="s">
        <v>794</v>
      </c>
      <c r="E76" s="29">
        <v>13329.65</v>
      </c>
      <c r="G76" t="s">
        <v>252</v>
      </c>
      <c r="H76" t="s">
        <v>216</v>
      </c>
    </row>
    <row r="77" spans="1:8" x14ac:dyDescent="0.25">
      <c r="A77" t="s">
        <v>869</v>
      </c>
      <c r="B77" t="s">
        <v>135</v>
      </c>
      <c r="C77" t="s">
        <v>190</v>
      </c>
      <c r="D77" t="s">
        <v>794</v>
      </c>
      <c r="E77" s="29">
        <v>5825.2</v>
      </c>
      <c r="G77" t="s">
        <v>285</v>
      </c>
      <c r="H77" t="s">
        <v>221</v>
      </c>
    </row>
    <row r="78" spans="1:8" x14ac:dyDescent="0.25">
      <c r="A78" t="s">
        <v>870</v>
      </c>
      <c r="B78" t="s">
        <v>135</v>
      </c>
      <c r="C78" t="s">
        <v>199</v>
      </c>
      <c r="D78" t="s">
        <v>794</v>
      </c>
      <c r="E78" s="29">
        <v>15254.76</v>
      </c>
      <c r="G78" t="s">
        <v>295</v>
      </c>
      <c r="H78" t="s">
        <v>221</v>
      </c>
    </row>
    <row r="79" spans="1:8" x14ac:dyDescent="0.25">
      <c r="A79" t="s">
        <v>871</v>
      </c>
      <c r="B79" t="s">
        <v>135</v>
      </c>
      <c r="C79" t="s">
        <v>139</v>
      </c>
      <c r="D79" t="s">
        <v>794</v>
      </c>
      <c r="E79" s="29">
        <v>4451.3</v>
      </c>
      <c r="G79" t="s">
        <v>265</v>
      </c>
      <c r="H79" t="s">
        <v>221</v>
      </c>
    </row>
    <row r="80" spans="1:8" x14ac:dyDescent="0.25">
      <c r="A80" t="s">
        <v>873</v>
      </c>
      <c r="B80" t="s">
        <v>135</v>
      </c>
      <c r="C80" t="s">
        <v>182</v>
      </c>
      <c r="D80" t="s">
        <v>794</v>
      </c>
      <c r="E80" s="29">
        <v>16322.33</v>
      </c>
      <c r="G80" t="s">
        <v>274</v>
      </c>
      <c r="H80" t="s">
        <v>221</v>
      </c>
    </row>
    <row r="81" spans="1:8" x14ac:dyDescent="0.25">
      <c r="A81" t="s">
        <v>874</v>
      </c>
      <c r="B81" t="s">
        <v>135</v>
      </c>
      <c r="C81" t="s">
        <v>765</v>
      </c>
      <c r="D81" t="s">
        <v>794</v>
      </c>
      <c r="E81" s="29">
        <v>15466.13</v>
      </c>
      <c r="G81" t="s">
        <v>275</v>
      </c>
      <c r="H81" t="s">
        <v>220</v>
      </c>
    </row>
    <row r="82" spans="1:8" x14ac:dyDescent="0.25">
      <c r="A82" t="s">
        <v>875</v>
      </c>
      <c r="B82" t="s">
        <v>135</v>
      </c>
      <c r="C82" t="s">
        <v>762</v>
      </c>
      <c r="D82" t="s">
        <v>794</v>
      </c>
      <c r="E82" s="29">
        <v>4386.99</v>
      </c>
      <c r="G82" t="s">
        <v>261</v>
      </c>
      <c r="H82" t="s">
        <v>221</v>
      </c>
    </row>
    <row r="83" spans="1:8" x14ac:dyDescent="0.25">
      <c r="A83" t="s">
        <v>876</v>
      </c>
      <c r="B83" t="s">
        <v>135</v>
      </c>
      <c r="C83" t="s">
        <v>206</v>
      </c>
      <c r="D83" t="s">
        <v>794</v>
      </c>
      <c r="E83" s="29">
        <v>11167.74</v>
      </c>
      <c r="G83" t="s">
        <v>270</v>
      </c>
      <c r="H83" t="s">
        <v>226</v>
      </c>
    </row>
    <row r="84" spans="1:8" x14ac:dyDescent="0.25">
      <c r="A84" t="s">
        <v>877</v>
      </c>
      <c r="B84" t="s">
        <v>135</v>
      </c>
      <c r="C84" t="s">
        <v>146</v>
      </c>
      <c r="D84" t="s">
        <v>794</v>
      </c>
      <c r="E84" s="29">
        <v>1861.76</v>
      </c>
      <c r="G84" t="s">
        <v>256</v>
      </c>
      <c r="H84" t="s">
        <v>215</v>
      </c>
    </row>
    <row r="85" spans="1:8" x14ac:dyDescent="0.25">
      <c r="A85" t="s">
        <v>878</v>
      </c>
      <c r="B85" t="s">
        <v>135</v>
      </c>
      <c r="C85" t="s">
        <v>198</v>
      </c>
      <c r="D85" t="s">
        <v>794</v>
      </c>
      <c r="E85" s="29">
        <v>18828.71</v>
      </c>
      <c r="G85" t="s">
        <v>294</v>
      </c>
      <c r="H85" t="s">
        <v>215</v>
      </c>
    </row>
    <row r="86" spans="1:8" x14ac:dyDescent="0.25">
      <c r="A86" t="s">
        <v>879</v>
      </c>
      <c r="B86" t="s">
        <v>135</v>
      </c>
      <c r="C86" t="s">
        <v>763</v>
      </c>
      <c r="D86" t="s">
        <v>794</v>
      </c>
      <c r="E86" s="29">
        <v>25299.94</v>
      </c>
      <c r="G86" t="s">
        <v>259</v>
      </c>
      <c r="H86" t="s">
        <v>220</v>
      </c>
    </row>
    <row r="87" spans="1:8" x14ac:dyDescent="0.25">
      <c r="A87" t="s">
        <v>880</v>
      </c>
      <c r="B87" t="s">
        <v>135</v>
      </c>
      <c r="C87" t="s">
        <v>192</v>
      </c>
      <c r="D87" t="s">
        <v>794</v>
      </c>
      <c r="E87" s="29">
        <v>5849.42</v>
      </c>
      <c r="G87" t="s">
        <v>287</v>
      </c>
      <c r="H87" t="s">
        <v>213</v>
      </c>
    </row>
    <row r="88" spans="1:8" x14ac:dyDescent="0.25">
      <c r="A88" t="s">
        <v>881</v>
      </c>
      <c r="B88" t="s">
        <v>135</v>
      </c>
      <c r="C88" t="s">
        <v>764</v>
      </c>
      <c r="D88" t="s">
        <v>794</v>
      </c>
      <c r="E88" s="29">
        <v>21404.34</v>
      </c>
      <c r="G88" t="s">
        <v>268</v>
      </c>
      <c r="H88" t="s">
        <v>226</v>
      </c>
    </row>
    <row r="89" spans="1:8" x14ac:dyDescent="0.25">
      <c r="A89" s="2" t="s">
        <v>882</v>
      </c>
      <c r="B89" s="2" t="s">
        <v>135</v>
      </c>
      <c r="C89" s="2" t="s">
        <v>142</v>
      </c>
      <c r="D89" s="2" t="s">
        <v>794</v>
      </c>
      <c r="E89" s="30">
        <v>21632.94</v>
      </c>
      <c r="F89" s="2"/>
      <c r="G89" s="2" t="s">
        <v>278</v>
      </c>
      <c r="H89" s="2" t="s">
        <v>226</v>
      </c>
    </row>
    <row r="91" spans="1:8" x14ac:dyDescent="0.25">
      <c r="A91" s="27" t="s">
        <v>746</v>
      </c>
      <c r="B91" s="27" t="s">
        <v>111</v>
      </c>
      <c r="C91" s="27" t="s">
        <v>789</v>
      </c>
      <c r="D91" s="27" t="s">
        <v>797</v>
      </c>
      <c r="E91" s="28" t="s">
        <v>798</v>
      </c>
      <c r="F91" s="27" t="s">
        <v>52</v>
      </c>
      <c r="G91" s="27" t="s">
        <v>298</v>
      </c>
      <c r="H91" s="27" t="s">
        <v>84</v>
      </c>
    </row>
    <row r="92" spans="1:8" x14ac:dyDescent="0.25">
      <c r="A92" t="s">
        <v>883</v>
      </c>
      <c r="B92" t="s">
        <v>133</v>
      </c>
      <c r="C92" t="s">
        <v>10</v>
      </c>
      <c r="D92" t="s">
        <v>790</v>
      </c>
      <c r="E92" s="29">
        <v>57915</v>
      </c>
      <c r="F92" t="s">
        <v>112</v>
      </c>
      <c r="G92" t="s">
        <v>456</v>
      </c>
      <c r="H92" t="s">
        <v>85</v>
      </c>
    </row>
    <row r="93" spans="1:8" x14ac:dyDescent="0.25">
      <c r="A93" t="s">
        <v>884</v>
      </c>
      <c r="B93" t="s">
        <v>133</v>
      </c>
      <c r="C93" t="s">
        <v>38</v>
      </c>
      <c r="D93" t="s">
        <v>795</v>
      </c>
      <c r="E93" s="29">
        <v>57200</v>
      </c>
      <c r="F93" t="s">
        <v>113</v>
      </c>
      <c r="G93" t="s">
        <v>451</v>
      </c>
      <c r="H93" t="s">
        <v>90</v>
      </c>
    </row>
    <row r="94" spans="1:8" x14ac:dyDescent="0.25">
      <c r="A94" t="s">
        <v>885</v>
      </c>
      <c r="B94" t="s">
        <v>133</v>
      </c>
      <c r="C94" t="s">
        <v>11</v>
      </c>
      <c r="D94" t="s">
        <v>790</v>
      </c>
      <c r="E94" s="29">
        <v>60000</v>
      </c>
      <c r="F94" t="s">
        <v>114</v>
      </c>
      <c r="G94" t="s">
        <v>454</v>
      </c>
      <c r="H94" t="s">
        <v>125</v>
      </c>
    </row>
    <row r="95" spans="1:8" x14ac:dyDescent="0.25">
      <c r="A95" t="s">
        <v>886</v>
      </c>
      <c r="B95" t="s">
        <v>133</v>
      </c>
      <c r="C95" t="s">
        <v>13</v>
      </c>
      <c r="D95" t="s">
        <v>790</v>
      </c>
      <c r="E95" s="29">
        <v>57745</v>
      </c>
      <c r="F95" t="s">
        <v>115</v>
      </c>
      <c r="G95" t="s">
        <v>453</v>
      </c>
      <c r="H95" t="s">
        <v>126</v>
      </c>
    </row>
    <row r="96" spans="1:8" x14ac:dyDescent="0.25">
      <c r="A96" t="s">
        <v>887</v>
      </c>
      <c r="B96" t="s">
        <v>133</v>
      </c>
      <c r="C96" t="s">
        <v>15</v>
      </c>
      <c r="D96" t="s">
        <v>790</v>
      </c>
      <c r="E96" s="29">
        <v>59884</v>
      </c>
      <c r="F96" t="s">
        <v>116</v>
      </c>
      <c r="G96" t="s">
        <v>449</v>
      </c>
      <c r="H96" t="s">
        <v>90</v>
      </c>
    </row>
    <row r="97" spans="1:8" x14ac:dyDescent="0.25">
      <c r="A97" t="s">
        <v>888</v>
      </c>
      <c r="B97" t="s">
        <v>133</v>
      </c>
      <c r="C97" t="s">
        <v>36</v>
      </c>
      <c r="D97" t="s">
        <v>790</v>
      </c>
      <c r="E97" s="29">
        <v>55125</v>
      </c>
      <c r="F97" t="s">
        <v>117</v>
      </c>
      <c r="G97" t="s">
        <v>450</v>
      </c>
      <c r="H97" t="s">
        <v>124</v>
      </c>
    </row>
    <row r="98" spans="1:8" x14ac:dyDescent="0.25">
      <c r="A98" t="s">
        <v>889</v>
      </c>
      <c r="B98" t="s">
        <v>133</v>
      </c>
      <c r="C98" t="s">
        <v>33</v>
      </c>
      <c r="D98" t="s">
        <v>796</v>
      </c>
      <c r="E98" s="29">
        <v>59941.42</v>
      </c>
      <c r="F98" t="s">
        <v>118</v>
      </c>
      <c r="G98" t="s">
        <v>455</v>
      </c>
      <c r="H98" t="s">
        <v>128</v>
      </c>
    </row>
    <row r="99" spans="1:8" x14ac:dyDescent="0.25">
      <c r="A99" t="s">
        <v>890</v>
      </c>
      <c r="B99" t="s">
        <v>133</v>
      </c>
      <c r="C99" t="s">
        <v>34</v>
      </c>
      <c r="D99" t="s">
        <v>791</v>
      </c>
      <c r="E99" s="29">
        <v>47788.95</v>
      </c>
      <c r="F99" t="s">
        <v>119</v>
      </c>
      <c r="G99" t="s">
        <v>448</v>
      </c>
      <c r="H99" t="s">
        <v>129</v>
      </c>
    </row>
    <row r="100" spans="1:8" x14ac:dyDescent="0.25">
      <c r="A100" t="s">
        <v>891</v>
      </c>
      <c r="B100" t="s">
        <v>133</v>
      </c>
      <c r="C100" t="s">
        <v>37</v>
      </c>
      <c r="D100" t="s">
        <v>790</v>
      </c>
      <c r="E100" s="29">
        <v>59400</v>
      </c>
      <c r="F100" t="s">
        <v>120</v>
      </c>
      <c r="G100" t="s">
        <v>447</v>
      </c>
      <c r="H100" t="s">
        <v>127</v>
      </c>
    </row>
    <row r="101" spans="1:8" x14ac:dyDescent="0.25">
      <c r="A101" t="s">
        <v>892</v>
      </c>
      <c r="B101" t="s">
        <v>133</v>
      </c>
      <c r="C101" t="s">
        <v>25</v>
      </c>
      <c r="D101" t="s">
        <v>790</v>
      </c>
      <c r="E101" s="29">
        <v>59252.6</v>
      </c>
      <c r="F101" t="s">
        <v>121</v>
      </c>
      <c r="G101" t="s">
        <v>446</v>
      </c>
      <c r="H101" t="s">
        <v>95</v>
      </c>
    </row>
    <row r="102" spans="1:8" x14ac:dyDescent="0.25">
      <c r="A102" t="s">
        <v>893</v>
      </c>
      <c r="B102" t="s">
        <v>133</v>
      </c>
      <c r="C102" t="s">
        <v>35</v>
      </c>
      <c r="D102" t="s">
        <v>796</v>
      </c>
      <c r="E102" s="29">
        <v>51150</v>
      </c>
      <c r="F102" t="s">
        <v>122</v>
      </c>
      <c r="G102" t="s">
        <v>457</v>
      </c>
      <c r="H102" t="s">
        <v>96</v>
      </c>
    </row>
    <row r="103" spans="1:8" x14ac:dyDescent="0.25">
      <c r="A103" s="2" t="s">
        <v>894</v>
      </c>
      <c r="B103" s="2" t="s">
        <v>133</v>
      </c>
      <c r="C103" s="2" t="s">
        <v>29</v>
      </c>
      <c r="D103" s="2" t="s">
        <v>790</v>
      </c>
      <c r="E103" s="30">
        <v>59934</v>
      </c>
      <c r="F103" s="2" t="s">
        <v>123</v>
      </c>
      <c r="G103" s="2" t="s">
        <v>443</v>
      </c>
      <c r="H103" s="2" t="s">
        <v>109</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DED1-CB76-4776-A76F-7854372467FB}">
  <dimension ref="A1:D56"/>
  <sheetViews>
    <sheetView topLeftCell="A23" workbookViewId="0">
      <selection activeCell="A2" sqref="A2:D56"/>
    </sheetView>
  </sheetViews>
  <sheetFormatPr defaultRowHeight="15" x14ac:dyDescent="0.25"/>
  <sheetData>
    <row r="1" spans="1:4" x14ac:dyDescent="0.25">
      <c r="A1" t="s">
        <v>459</v>
      </c>
      <c r="B1" t="s">
        <v>655</v>
      </c>
      <c r="C1" t="s">
        <v>656</v>
      </c>
      <c r="D1" t="s">
        <v>657</v>
      </c>
    </row>
    <row r="2" spans="1:4" x14ac:dyDescent="0.25">
      <c r="A2" t="s">
        <v>658</v>
      </c>
      <c r="B2">
        <v>33.943629999999999</v>
      </c>
      <c r="C2">
        <v>-103.68862</v>
      </c>
      <c r="D2" t="s">
        <v>659</v>
      </c>
    </row>
    <row r="3" spans="1:4" x14ac:dyDescent="0.25">
      <c r="A3" t="s">
        <v>660</v>
      </c>
      <c r="B3">
        <v>36.464829999999999</v>
      </c>
      <c r="C3">
        <v>-104.94596</v>
      </c>
      <c r="D3" t="s">
        <v>661</v>
      </c>
    </row>
    <row r="4" spans="1:4" x14ac:dyDescent="0.25">
      <c r="A4" t="s">
        <v>662</v>
      </c>
      <c r="B4">
        <v>32.417929999999998</v>
      </c>
      <c r="C4">
        <v>-104.22902999999999</v>
      </c>
      <c r="D4" t="s">
        <v>663</v>
      </c>
    </row>
    <row r="5" spans="1:4" x14ac:dyDescent="0.25">
      <c r="A5" t="s">
        <v>664</v>
      </c>
      <c r="B5">
        <v>33.394269999999999</v>
      </c>
      <c r="C5">
        <v>-104.52302</v>
      </c>
      <c r="D5" t="s">
        <v>665</v>
      </c>
    </row>
    <row r="6" spans="1:4" x14ac:dyDescent="0.25">
      <c r="A6" t="s">
        <v>666</v>
      </c>
      <c r="B6">
        <v>36.903109999999998</v>
      </c>
      <c r="C6">
        <v>-104.43904000000001</v>
      </c>
      <c r="D6" t="s">
        <v>667</v>
      </c>
    </row>
    <row r="7" spans="1:4" x14ac:dyDescent="0.25">
      <c r="A7" t="s">
        <v>668</v>
      </c>
      <c r="B7">
        <v>32.268149999999999</v>
      </c>
      <c r="C7">
        <v>-107.75998</v>
      </c>
      <c r="D7" t="s">
        <v>669</v>
      </c>
    </row>
    <row r="8" spans="1:4" x14ac:dyDescent="0.25">
      <c r="A8" t="s">
        <v>670</v>
      </c>
      <c r="B8">
        <v>35.110550000000003</v>
      </c>
      <c r="C8">
        <v>-106.6091</v>
      </c>
      <c r="D8" t="s">
        <v>671</v>
      </c>
    </row>
    <row r="9" spans="1:4" x14ac:dyDescent="0.25">
      <c r="A9" t="s">
        <v>672</v>
      </c>
      <c r="B9">
        <v>36.002659999999999</v>
      </c>
      <c r="C9">
        <v>-106.09634</v>
      </c>
      <c r="D9" t="s">
        <v>673</v>
      </c>
    </row>
    <row r="10" spans="1:4" x14ac:dyDescent="0.25">
      <c r="A10" t="s">
        <v>674</v>
      </c>
      <c r="B10">
        <v>33.136490000000002</v>
      </c>
      <c r="C10">
        <v>-107.25261</v>
      </c>
      <c r="D10" t="s">
        <v>675</v>
      </c>
    </row>
    <row r="11" spans="1:4" x14ac:dyDescent="0.25">
      <c r="A11" t="s">
        <v>676</v>
      </c>
      <c r="B11">
        <v>34.058100000000003</v>
      </c>
      <c r="C11">
        <v>-106.89100000000001</v>
      </c>
      <c r="D11" t="s">
        <v>677</v>
      </c>
    </row>
    <row r="12" spans="1:4" x14ac:dyDescent="0.25">
      <c r="A12" t="s">
        <v>678</v>
      </c>
      <c r="B12">
        <v>36.407249999999998</v>
      </c>
      <c r="C12">
        <v>-105.57306</v>
      </c>
      <c r="D12" t="s">
        <v>679</v>
      </c>
    </row>
    <row r="13" spans="1:4" x14ac:dyDescent="0.25">
      <c r="A13" t="s">
        <v>680</v>
      </c>
      <c r="B13">
        <v>36.607500000000002</v>
      </c>
      <c r="C13">
        <v>-104.18347</v>
      </c>
      <c r="D13" t="s">
        <v>681</v>
      </c>
    </row>
    <row r="14" spans="1:4" x14ac:dyDescent="0.25">
      <c r="A14" t="s">
        <v>647</v>
      </c>
      <c r="B14">
        <v>32.400599999999997</v>
      </c>
      <c r="C14">
        <v>-106.80969</v>
      </c>
      <c r="D14" t="s">
        <v>682</v>
      </c>
    </row>
    <row r="15" spans="1:4" x14ac:dyDescent="0.25">
      <c r="A15" t="s">
        <v>649</v>
      </c>
      <c r="B15">
        <v>34.412779999999998</v>
      </c>
      <c r="C15">
        <v>-104.51443999999999</v>
      </c>
      <c r="D15" t="s">
        <v>683</v>
      </c>
    </row>
    <row r="16" spans="1:4" x14ac:dyDescent="0.25">
      <c r="A16" t="s">
        <v>648</v>
      </c>
      <c r="B16">
        <v>35.279209999999999</v>
      </c>
      <c r="C16">
        <v>-106.55052999999999</v>
      </c>
      <c r="D16" t="s">
        <v>684</v>
      </c>
    </row>
    <row r="17" spans="1:4" x14ac:dyDescent="0.25">
      <c r="A17" t="s">
        <v>637</v>
      </c>
      <c r="B17">
        <v>32.319940000000003</v>
      </c>
      <c r="C17">
        <v>-106.76365</v>
      </c>
      <c r="D17" t="s">
        <v>685</v>
      </c>
    </row>
    <row r="18" spans="1:4" x14ac:dyDescent="0.25">
      <c r="A18" t="s">
        <v>651</v>
      </c>
      <c r="B18">
        <v>34.803350000000002</v>
      </c>
      <c r="C18">
        <v>-105.03016</v>
      </c>
      <c r="D18" t="s">
        <v>686</v>
      </c>
    </row>
    <row r="19" spans="1:4" x14ac:dyDescent="0.25">
      <c r="A19" t="s">
        <v>687</v>
      </c>
      <c r="B19">
        <v>35.584130000000002</v>
      </c>
      <c r="C19">
        <v>-106.14530000000001</v>
      </c>
      <c r="D19" t="s">
        <v>686</v>
      </c>
    </row>
    <row r="20" spans="1:4" x14ac:dyDescent="0.25">
      <c r="A20" t="s">
        <v>688</v>
      </c>
      <c r="B20">
        <v>36.197510000000001</v>
      </c>
      <c r="C20">
        <v>-108.68474999999999</v>
      </c>
      <c r="D20" t="s">
        <v>689</v>
      </c>
    </row>
    <row r="21" spans="1:4" x14ac:dyDescent="0.25">
      <c r="A21" t="s">
        <v>690</v>
      </c>
      <c r="B21">
        <v>36.741660000000003</v>
      </c>
      <c r="C21">
        <v>-108.22839999999999</v>
      </c>
      <c r="D21" t="s">
        <v>691</v>
      </c>
    </row>
    <row r="22" spans="1:4" x14ac:dyDescent="0.25">
      <c r="A22" t="s">
        <v>692</v>
      </c>
      <c r="B22">
        <v>34.649039999999999</v>
      </c>
      <c r="C22">
        <v>-106.76649</v>
      </c>
      <c r="D22" t="s">
        <v>693</v>
      </c>
    </row>
    <row r="23" spans="1:4" x14ac:dyDescent="0.25">
      <c r="A23" t="s">
        <v>694</v>
      </c>
      <c r="B23">
        <v>34.329920000000001</v>
      </c>
      <c r="C23">
        <v>-103.25346</v>
      </c>
      <c r="D23" t="s">
        <v>695</v>
      </c>
    </row>
    <row r="24" spans="1:4" x14ac:dyDescent="0.25">
      <c r="A24" t="s">
        <v>696</v>
      </c>
      <c r="B24">
        <v>34.314709999999998</v>
      </c>
      <c r="C24">
        <v>-103.22319</v>
      </c>
      <c r="D24" t="s">
        <v>697</v>
      </c>
    </row>
    <row r="25" spans="1:4" x14ac:dyDescent="0.25">
      <c r="A25" t="s">
        <v>698</v>
      </c>
      <c r="B25">
        <v>34.317419999999998</v>
      </c>
      <c r="C25">
        <v>-103.23106</v>
      </c>
      <c r="D25" t="s">
        <v>697</v>
      </c>
    </row>
    <row r="26" spans="1:4" x14ac:dyDescent="0.25">
      <c r="A26" t="s">
        <v>699</v>
      </c>
      <c r="B26">
        <v>35.529940000000003</v>
      </c>
      <c r="C26">
        <v>-108.74285</v>
      </c>
      <c r="D26" t="s">
        <v>700</v>
      </c>
    </row>
    <row r="27" spans="1:4" x14ac:dyDescent="0.25">
      <c r="A27" t="s">
        <v>701</v>
      </c>
      <c r="B27">
        <v>34.417639999999999</v>
      </c>
      <c r="C27">
        <v>-106.98049</v>
      </c>
      <c r="D27" t="s">
        <v>702</v>
      </c>
    </row>
    <row r="28" spans="1:4" x14ac:dyDescent="0.25">
      <c r="A28" t="s">
        <v>703</v>
      </c>
      <c r="B28">
        <v>35.201329999999999</v>
      </c>
      <c r="C28">
        <v>-103.70811999999999</v>
      </c>
      <c r="D28" t="s">
        <v>704</v>
      </c>
    </row>
    <row r="29" spans="1:4" x14ac:dyDescent="0.25">
      <c r="A29" t="s">
        <v>705</v>
      </c>
      <c r="B29">
        <v>35.954059999999998</v>
      </c>
      <c r="C29">
        <v>-105.98833999999999</v>
      </c>
      <c r="D29" t="s">
        <v>706</v>
      </c>
    </row>
    <row r="30" spans="1:4" x14ac:dyDescent="0.25">
      <c r="A30" t="s">
        <v>593</v>
      </c>
      <c r="B30">
        <v>35.07687</v>
      </c>
      <c r="C30">
        <v>-106.71393999999999</v>
      </c>
      <c r="D30" t="s">
        <v>707</v>
      </c>
    </row>
    <row r="31" spans="1:4" x14ac:dyDescent="0.25">
      <c r="A31" t="s">
        <v>708</v>
      </c>
      <c r="B31">
        <v>36.740250000000003</v>
      </c>
      <c r="C31">
        <v>-108.22808999999999</v>
      </c>
      <c r="D31" t="s">
        <v>691</v>
      </c>
    </row>
    <row r="32" spans="1:4" x14ac:dyDescent="0.25">
      <c r="A32" t="s">
        <v>709</v>
      </c>
      <c r="B32">
        <v>34.336170000000003</v>
      </c>
      <c r="C32">
        <v>-103.24011</v>
      </c>
      <c r="D32" t="s">
        <v>710</v>
      </c>
    </row>
    <row r="33" spans="1:4" x14ac:dyDescent="0.25">
      <c r="A33" t="s">
        <v>623</v>
      </c>
      <c r="B33">
        <v>31.75</v>
      </c>
      <c r="C33">
        <v>-108.99841000000001</v>
      </c>
      <c r="D33" t="s">
        <v>711</v>
      </c>
    </row>
    <row r="34" spans="1:4" x14ac:dyDescent="0.25">
      <c r="A34" t="s">
        <v>592</v>
      </c>
      <c r="B34">
        <v>35.136090000000003</v>
      </c>
      <c r="C34">
        <v>-106.58337</v>
      </c>
      <c r="D34" t="s">
        <v>712</v>
      </c>
    </row>
    <row r="35" spans="1:4" x14ac:dyDescent="0.25">
      <c r="A35" t="s">
        <v>713</v>
      </c>
      <c r="B35">
        <v>35.076090000000001</v>
      </c>
      <c r="C35">
        <v>-106.71017999999999</v>
      </c>
      <c r="D35" t="s">
        <v>707</v>
      </c>
    </row>
    <row r="36" spans="1:4" x14ac:dyDescent="0.25">
      <c r="A36" t="s">
        <v>714</v>
      </c>
      <c r="B36">
        <v>36.744199999999999</v>
      </c>
      <c r="C36">
        <v>-108.22320000000001</v>
      </c>
      <c r="D36" t="s">
        <v>691</v>
      </c>
    </row>
    <row r="37" spans="1:4" x14ac:dyDescent="0.25">
      <c r="A37" t="s">
        <v>715</v>
      </c>
      <c r="B37">
        <v>34.214849999999998</v>
      </c>
      <c r="C37">
        <v>-103.20949</v>
      </c>
      <c r="D37" t="s">
        <v>716</v>
      </c>
    </row>
    <row r="38" spans="1:4" x14ac:dyDescent="0.25">
      <c r="A38" t="s">
        <v>717</v>
      </c>
      <c r="B38">
        <v>36.857419999999998</v>
      </c>
      <c r="C38">
        <v>-107.99513</v>
      </c>
      <c r="D38" t="s">
        <v>718</v>
      </c>
    </row>
    <row r="39" spans="1:4" x14ac:dyDescent="0.25">
      <c r="A39" t="s">
        <v>719</v>
      </c>
      <c r="B39">
        <v>35.952150000000003</v>
      </c>
      <c r="C39">
        <v>-105.98218</v>
      </c>
      <c r="D39" t="s">
        <v>720</v>
      </c>
    </row>
    <row r="40" spans="1:4" x14ac:dyDescent="0.25">
      <c r="A40" t="s">
        <v>721</v>
      </c>
      <c r="B40">
        <v>34.425150000000002</v>
      </c>
      <c r="C40">
        <v>-107.01427</v>
      </c>
      <c r="D40" t="s">
        <v>722</v>
      </c>
    </row>
    <row r="41" spans="1:4" x14ac:dyDescent="0.25">
      <c r="A41" t="s">
        <v>574</v>
      </c>
      <c r="B41">
        <v>32.418120000000002</v>
      </c>
      <c r="C41">
        <v>-104.22852</v>
      </c>
      <c r="D41" t="s">
        <v>723</v>
      </c>
    </row>
    <row r="42" spans="1:4" x14ac:dyDescent="0.25">
      <c r="A42" t="s">
        <v>622</v>
      </c>
      <c r="B42">
        <v>35.981369999999998</v>
      </c>
      <c r="C42">
        <v>-105.34909</v>
      </c>
      <c r="D42" t="s">
        <v>724</v>
      </c>
    </row>
    <row r="43" spans="1:4" x14ac:dyDescent="0.25">
      <c r="A43" t="s">
        <v>725</v>
      </c>
      <c r="B43">
        <v>36.82347</v>
      </c>
      <c r="C43">
        <v>-108.19723999999999</v>
      </c>
      <c r="D43" t="s">
        <v>726</v>
      </c>
    </row>
    <row r="44" spans="1:4" x14ac:dyDescent="0.25">
      <c r="A44" t="s">
        <v>727</v>
      </c>
      <c r="B44">
        <v>35.076439999999998</v>
      </c>
      <c r="C44">
        <v>-106.71625</v>
      </c>
      <c r="D44" t="s">
        <v>728</v>
      </c>
    </row>
    <row r="45" spans="1:4" x14ac:dyDescent="0.25">
      <c r="A45" t="s">
        <v>729</v>
      </c>
      <c r="B45">
        <v>35.07835</v>
      </c>
      <c r="C45">
        <v>-106.71438000000001</v>
      </c>
      <c r="D45" t="s">
        <v>728</v>
      </c>
    </row>
    <row r="46" spans="1:4" x14ac:dyDescent="0.25">
      <c r="A46" t="s">
        <v>730</v>
      </c>
      <c r="B46">
        <v>35.187150000000003</v>
      </c>
      <c r="C46">
        <v>-106.64877</v>
      </c>
      <c r="D46" t="s">
        <v>731</v>
      </c>
    </row>
    <row r="47" spans="1:4" x14ac:dyDescent="0.25">
      <c r="A47" t="s">
        <v>732</v>
      </c>
      <c r="B47">
        <v>35.17127</v>
      </c>
      <c r="C47">
        <v>-106.67812000000001</v>
      </c>
      <c r="D47" t="s">
        <v>733</v>
      </c>
    </row>
    <row r="48" spans="1:4" x14ac:dyDescent="0.25">
      <c r="A48" t="s">
        <v>734</v>
      </c>
      <c r="B48">
        <v>35.660589999999999</v>
      </c>
      <c r="C48">
        <v>-105.96169</v>
      </c>
      <c r="D48" t="s">
        <v>735</v>
      </c>
    </row>
    <row r="49" spans="1:4" x14ac:dyDescent="0.25">
      <c r="A49" t="s">
        <v>736</v>
      </c>
      <c r="B49">
        <v>35.145949999999999</v>
      </c>
      <c r="C49">
        <v>-106.68810999999999</v>
      </c>
      <c r="D49" t="s">
        <v>737</v>
      </c>
    </row>
    <row r="50" spans="1:4" x14ac:dyDescent="0.25">
      <c r="A50" t="s">
        <v>738</v>
      </c>
      <c r="B50">
        <v>34.330820000000003</v>
      </c>
      <c r="C50">
        <v>-103.24605</v>
      </c>
      <c r="D50" t="s">
        <v>710</v>
      </c>
    </row>
    <row r="51" spans="1:4" x14ac:dyDescent="0.25">
      <c r="A51" t="s">
        <v>739</v>
      </c>
      <c r="B51">
        <v>36.065629999999999</v>
      </c>
      <c r="C51">
        <v>-106.40996</v>
      </c>
      <c r="D51" t="s">
        <v>740</v>
      </c>
    </row>
    <row r="52" spans="1:4" x14ac:dyDescent="0.25">
      <c r="A52" t="s">
        <v>653</v>
      </c>
      <c r="B52">
        <v>36.693049999999999</v>
      </c>
      <c r="C52">
        <v>-105.8677</v>
      </c>
      <c r="D52" t="s">
        <v>686</v>
      </c>
    </row>
    <row r="53" spans="1:4" x14ac:dyDescent="0.25">
      <c r="A53" t="s">
        <v>741</v>
      </c>
      <c r="B53">
        <v>35.955379999999998</v>
      </c>
      <c r="C53">
        <v>-105.98667</v>
      </c>
      <c r="D53" t="s">
        <v>706</v>
      </c>
    </row>
    <row r="54" spans="1:4" x14ac:dyDescent="0.25">
      <c r="A54" t="s">
        <v>742</v>
      </c>
      <c r="B54">
        <v>35.268749999999997</v>
      </c>
      <c r="C54">
        <v>-106.63706000000001</v>
      </c>
      <c r="D54" t="s">
        <v>743</v>
      </c>
    </row>
    <row r="55" spans="1:4" x14ac:dyDescent="0.25">
      <c r="A55" t="s">
        <v>652</v>
      </c>
      <c r="B55">
        <v>34.53642</v>
      </c>
      <c r="C55">
        <v>-103.04179000000001</v>
      </c>
      <c r="D55" t="s">
        <v>686</v>
      </c>
    </row>
    <row r="56" spans="1:4" x14ac:dyDescent="0.25">
      <c r="A56" t="s">
        <v>744</v>
      </c>
      <c r="B56">
        <v>34.415480000000002</v>
      </c>
      <c r="C56">
        <v>-103.18219000000001</v>
      </c>
      <c r="D56" t="s">
        <v>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1468C-B8AC-4199-A8DA-2A0A088B94FD}">
  <dimension ref="A1:H39"/>
  <sheetViews>
    <sheetView workbookViewId="0">
      <selection activeCell="A2" sqref="A2:H13"/>
    </sheetView>
  </sheetViews>
  <sheetFormatPr defaultRowHeight="15" x14ac:dyDescent="0.25"/>
  <sheetData>
    <row r="1" spans="1:8" x14ac:dyDescent="0.25">
      <c r="A1" s="27" t="s">
        <v>746</v>
      </c>
      <c r="B1" s="27" t="s">
        <v>111</v>
      </c>
      <c r="C1" s="27" t="s">
        <v>789</v>
      </c>
      <c r="D1" s="27" t="s">
        <v>797</v>
      </c>
      <c r="E1" s="28" t="s">
        <v>798</v>
      </c>
      <c r="F1" s="27" t="s">
        <v>52</v>
      </c>
      <c r="G1" s="27" t="s">
        <v>298</v>
      </c>
      <c r="H1" s="27" t="s">
        <v>84</v>
      </c>
    </row>
    <row r="2" spans="1:8" x14ac:dyDescent="0.25">
      <c r="A2" t="s">
        <v>883</v>
      </c>
      <c r="B2" t="s">
        <v>133</v>
      </c>
      <c r="C2" t="s">
        <v>10</v>
      </c>
      <c r="D2" t="s">
        <v>790</v>
      </c>
      <c r="E2" s="29">
        <v>57915</v>
      </c>
      <c r="F2" t="s">
        <v>112</v>
      </c>
      <c r="G2" t="s">
        <v>456</v>
      </c>
      <c r="H2" t="s">
        <v>85</v>
      </c>
    </row>
    <row r="3" spans="1:8" x14ac:dyDescent="0.25">
      <c r="A3" t="s">
        <v>884</v>
      </c>
      <c r="B3" t="s">
        <v>133</v>
      </c>
      <c r="C3" t="s">
        <v>38</v>
      </c>
      <c r="D3" t="s">
        <v>795</v>
      </c>
      <c r="E3" s="29">
        <v>57200</v>
      </c>
      <c r="F3" t="s">
        <v>113</v>
      </c>
      <c r="G3" t="s">
        <v>451</v>
      </c>
      <c r="H3" t="s">
        <v>90</v>
      </c>
    </row>
    <row r="4" spans="1:8" x14ac:dyDescent="0.25">
      <c r="A4" t="s">
        <v>885</v>
      </c>
      <c r="B4" t="s">
        <v>133</v>
      </c>
      <c r="C4" t="s">
        <v>11</v>
      </c>
      <c r="D4" t="s">
        <v>790</v>
      </c>
      <c r="E4" s="29">
        <v>60000</v>
      </c>
      <c r="F4" t="s">
        <v>114</v>
      </c>
      <c r="G4" t="s">
        <v>454</v>
      </c>
      <c r="H4" t="s">
        <v>125</v>
      </c>
    </row>
    <row r="5" spans="1:8" x14ac:dyDescent="0.25">
      <c r="A5" t="s">
        <v>886</v>
      </c>
      <c r="B5" t="s">
        <v>133</v>
      </c>
      <c r="C5" t="s">
        <v>13</v>
      </c>
      <c r="D5" t="s">
        <v>790</v>
      </c>
      <c r="E5" s="29">
        <v>57745</v>
      </c>
      <c r="F5" t="s">
        <v>115</v>
      </c>
      <c r="G5" t="s">
        <v>453</v>
      </c>
      <c r="H5" t="s">
        <v>126</v>
      </c>
    </row>
    <row r="6" spans="1:8" x14ac:dyDescent="0.25">
      <c r="A6" t="s">
        <v>887</v>
      </c>
      <c r="B6" t="s">
        <v>133</v>
      </c>
      <c r="C6" t="s">
        <v>15</v>
      </c>
      <c r="D6" t="s">
        <v>790</v>
      </c>
      <c r="E6" s="29">
        <v>59884</v>
      </c>
      <c r="F6" t="s">
        <v>116</v>
      </c>
      <c r="G6" t="s">
        <v>449</v>
      </c>
      <c r="H6" t="s">
        <v>90</v>
      </c>
    </row>
    <row r="7" spans="1:8" x14ac:dyDescent="0.25">
      <c r="A7" t="s">
        <v>888</v>
      </c>
      <c r="B7" t="s">
        <v>133</v>
      </c>
      <c r="C7" t="s">
        <v>36</v>
      </c>
      <c r="D7" t="s">
        <v>790</v>
      </c>
      <c r="E7" s="29">
        <v>55125</v>
      </c>
      <c r="F7" t="s">
        <v>117</v>
      </c>
      <c r="G7" t="s">
        <v>450</v>
      </c>
      <c r="H7" t="s">
        <v>124</v>
      </c>
    </row>
    <row r="8" spans="1:8" x14ac:dyDescent="0.25">
      <c r="A8" t="s">
        <v>889</v>
      </c>
      <c r="B8" t="s">
        <v>133</v>
      </c>
      <c r="C8" t="s">
        <v>33</v>
      </c>
      <c r="D8" t="s">
        <v>796</v>
      </c>
      <c r="E8" s="29">
        <v>59941.42</v>
      </c>
      <c r="F8" t="s">
        <v>118</v>
      </c>
      <c r="G8" t="s">
        <v>455</v>
      </c>
      <c r="H8" t="s">
        <v>128</v>
      </c>
    </row>
    <row r="9" spans="1:8" x14ac:dyDescent="0.25">
      <c r="A9" t="s">
        <v>890</v>
      </c>
      <c r="B9" t="s">
        <v>133</v>
      </c>
      <c r="C9" t="s">
        <v>34</v>
      </c>
      <c r="D9" t="s">
        <v>791</v>
      </c>
      <c r="E9" s="29">
        <v>47788.95</v>
      </c>
      <c r="F9" t="s">
        <v>119</v>
      </c>
      <c r="G9" t="s">
        <v>448</v>
      </c>
      <c r="H9" t="s">
        <v>129</v>
      </c>
    </row>
    <row r="10" spans="1:8" x14ac:dyDescent="0.25">
      <c r="A10" t="s">
        <v>891</v>
      </c>
      <c r="B10" t="s">
        <v>133</v>
      </c>
      <c r="C10" t="s">
        <v>37</v>
      </c>
      <c r="D10" t="s">
        <v>790</v>
      </c>
      <c r="E10" s="29">
        <v>59400</v>
      </c>
      <c r="F10" t="s">
        <v>120</v>
      </c>
      <c r="G10" t="s">
        <v>447</v>
      </c>
      <c r="H10" t="s">
        <v>127</v>
      </c>
    </row>
    <row r="11" spans="1:8" x14ac:dyDescent="0.25">
      <c r="A11" t="s">
        <v>892</v>
      </c>
      <c r="B11" t="s">
        <v>133</v>
      </c>
      <c r="C11" t="s">
        <v>25</v>
      </c>
      <c r="D11" t="s">
        <v>790</v>
      </c>
      <c r="E11" s="29">
        <v>59252.6</v>
      </c>
      <c r="F11" t="s">
        <v>121</v>
      </c>
      <c r="G11" t="s">
        <v>446</v>
      </c>
      <c r="H11" t="s">
        <v>95</v>
      </c>
    </row>
    <row r="12" spans="1:8" x14ac:dyDescent="0.25">
      <c r="A12" t="s">
        <v>893</v>
      </c>
      <c r="B12" t="s">
        <v>133</v>
      </c>
      <c r="C12" t="s">
        <v>35</v>
      </c>
      <c r="D12" t="s">
        <v>796</v>
      </c>
      <c r="E12" s="29">
        <v>51150</v>
      </c>
      <c r="F12" t="s">
        <v>122</v>
      </c>
      <c r="G12" t="s">
        <v>457</v>
      </c>
      <c r="H12" t="s">
        <v>96</v>
      </c>
    </row>
    <row r="13" spans="1:8" x14ac:dyDescent="0.25">
      <c r="A13" t="s">
        <v>894</v>
      </c>
      <c r="B13" t="s">
        <v>133</v>
      </c>
      <c r="C13" t="s">
        <v>29</v>
      </c>
      <c r="D13" t="s">
        <v>790</v>
      </c>
      <c r="E13" s="29">
        <v>59934</v>
      </c>
      <c r="F13" t="s">
        <v>123</v>
      </c>
      <c r="G13" t="s">
        <v>443</v>
      </c>
      <c r="H13" t="s">
        <v>109</v>
      </c>
    </row>
    <row r="14" spans="1:8" x14ac:dyDescent="0.25">
      <c r="E14" s="29"/>
    </row>
    <row r="15" spans="1:8" x14ac:dyDescent="0.25">
      <c r="E15" s="29"/>
    </row>
    <row r="16" spans="1:8" x14ac:dyDescent="0.25">
      <c r="E16" s="29"/>
    </row>
    <row r="17" spans="5:5" x14ac:dyDescent="0.25">
      <c r="E17" s="29"/>
    </row>
    <row r="18" spans="5:5" x14ac:dyDescent="0.25">
      <c r="E18" s="29"/>
    </row>
    <row r="19" spans="5:5" x14ac:dyDescent="0.25">
      <c r="E19" s="29"/>
    </row>
    <row r="20" spans="5:5" x14ac:dyDescent="0.25">
      <c r="E20" s="29"/>
    </row>
    <row r="21" spans="5:5" x14ac:dyDescent="0.25">
      <c r="E21" s="29"/>
    </row>
    <row r="22" spans="5:5" x14ac:dyDescent="0.25">
      <c r="E22" s="29"/>
    </row>
    <row r="23" spans="5:5" x14ac:dyDescent="0.25">
      <c r="E23" s="29"/>
    </row>
    <row r="24" spans="5:5" x14ac:dyDescent="0.25">
      <c r="E24" s="29"/>
    </row>
    <row r="25" spans="5:5" x14ac:dyDescent="0.25">
      <c r="E25" s="29"/>
    </row>
    <row r="26" spans="5:5" x14ac:dyDescent="0.25">
      <c r="E26" s="29"/>
    </row>
    <row r="27" spans="5:5" x14ac:dyDescent="0.25">
      <c r="E27" s="29"/>
    </row>
    <row r="28" spans="5:5" x14ac:dyDescent="0.25">
      <c r="E28" s="29"/>
    </row>
    <row r="29" spans="5:5" x14ac:dyDescent="0.25">
      <c r="E29" s="29"/>
    </row>
    <row r="30" spans="5:5" x14ac:dyDescent="0.25">
      <c r="E30" s="29"/>
    </row>
    <row r="31" spans="5:5" x14ac:dyDescent="0.25">
      <c r="E31" s="29"/>
    </row>
    <row r="32" spans="5:5" x14ac:dyDescent="0.25">
      <c r="E32" s="29"/>
    </row>
    <row r="33" spans="5:5" x14ac:dyDescent="0.25">
      <c r="E33" s="29"/>
    </row>
    <row r="34" spans="5:5" x14ac:dyDescent="0.25">
      <c r="E34" s="29"/>
    </row>
    <row r="35" spans="5:5" x14ac:dyDescent="0.25">
      <c r="E35" s="29"/>
    </row>
    <row r="36" spans="5:5" x14ac:dyDescent="0.25">
      <c r="E36" s="29"/>
    </row>
    <row r="37" spans="5:5" x14ac:dyDescent="0.25">
      <c r="E37" s="29"/>
    </row>
    <row r="38" spans="5:5" x14ac:dyDescent="0.25">
      <c r="E38" s="29"/>
    </row>
    <row r="39" spans="5:5" x14ac:dyDescent="0.25">
      <c r="E39" s="29"/>
    </row>
  </sheetData>
  <autoFilter ref="A1:H1" xr:uid="{9181468C-B8AC-4199-A8DA-2A0A088B94FD}">
    <sortState ref="A2:H13">
      <sortCondition ref="A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F87B-292D-4994-A65B-E8A1E72743B7}">
  <dimension ref="A1:D16"/>
  <sheetViews>
    <sheetView workbookViewId="0">
      <selection activeCell="E22" sqref="E22"/>
    </sheetView>
  </sheetViews>
  <sheetFormatPr defaultRowHeight="15" x14ac:dyDescent="0.25"/>
  <cols>
    <col min="3" max="3" width="11.28515625" customWidth="1"/>
  </cols>
  <sheetData>
    <row r="1" spans="1:4" x14ac:dyDescent="0.25">
      <c r="A1" t="s">
        <v>202</v>
      </c>
      <c r="B1" t="s">
        <v>0</v>
      </c>
      <c r="C1" t="s">
        <v>383</v>
      </c>
      <c r="D1" t="s">
        <v>460</v>
      </c>
    </row>
    <row r="2" spans="1:4" x14ac:dyDescent="0.25">
      <c r="A2">
        <v>1</v>
      </c>
      <c r="B2" t="s">
        <v>29</v>
      </c>
      <c r="C2" t="s">
        <v>443</v>
      </c>
      <c r="D2" t="s">
        <v>461</v>
      </c>
    </row>
    <row r="3" spans="1:4" x14ac:dyDescent="0.25">
      <c r="A3">
        <v>2</v>
      </c>
      <c r="B3" t="s">
        <v>435</v>
      </c>
      <c r="C3" t="s">
        <v>444</v>
      </c>
      <c r="D3" t="s">
        <v>462</v>
      </c>
    </row>
    <row r="4" spans="1:4" x14ac:dyDescent="0.25">
      <c r="A4">
        <v>3</v>
      </c>
      <c r="B4" t="s">
        <v>20</v>
      </c>
      <c r="C4" t="s">
        <v>445</v>
      </c>
      <c r="D4" t="s">
        <v>463</v>
      </c>
    </row>
    <row r="5" spans="1:4" x14ac:dyDescent="0.25">
      <c r="A5">
        <v>4</v>
      </c>
      <c r="B5" t="s">
        <v>436</v>
      </c>
      <c r="C5" t="s">
        <v>446</v>
      </c>
      <c r="D5" t="s">
        <v>464</v>
      </c>
    </row>
    <row r="6" spans="1:4" x14ac:dyDescent="0.25">
      <c r="A6">
        <v>5</v>
      </c>
      <c r="B6" t="s">
        <v>437</v>
      </c>
      <c r="C6" t="s">
        <v>447</v>
      </c>
      <c r="D6" t="s">
        <v>465</v>
      </c>
    </row>
    <row r="7" spans="1:4" x14ac:dyDescent="0.25">
      <c r="A7">
        <v>6</v>
      </c>
      <c r="B7" t="s">
        <v>34</v>
      </c>
      <c r="C7" t="s">
        <v>448</v>
      </c>
      <c r="D7" t="s">
        <v>466</v>
      </c>
    </row>
    <row r="8" spans="1:4" x14ac:dyDescent="0.25">
      <c r="A8">
        <v>7</v>
      </c>
      <c r="B8" t="s">
        <v>307</v>
      </c>
      <c r="C8" t="s">
        <v>449</v>
      </c>
      <c r="D8" t="s">
        <v>467</v>
      </c>
    </row>
    <row r="9" spans="1:4" x14ac:dyDescent="0.25">
      <c r="A9">
        <v>8</v>
      </c>
      <c r="B9" t="s">
        <v>438</v>
      </c>
      <c r="C9" t="s">
        <v>450</v>
      </c>
      <c r="D9" t="s">
        <v>468</v>
      </c>
    </row>
    <row r="10" spans="1:4" x14ac:dyDescent="0.25">
      <c r="A10">
        <v>9</v>
      </c>
      <c r="B10" t="s">
        <v>439</v>
      </c>
      <c r="C10" t="s">
        <v>451</v>
      </c>
      <c r="D10" t="s">
        <v>469</v>
      </c>
    </row>
    <row r="11" spans="1:4" x14ac:dyDescent="0.25">
      <c r="A11">
        <v>10</v>
      </c>
      <c r="B11" t="s">
        <v>323</v>
      </c>
      <c r="C11" t="s">
        <v>452</v>
      </c>
      <c r="D11" t="s">
        <v>470</v>
      </c>
    </row>
    <row r="12" spans="1:4" x14ac:dyDescent="0.25">
      <c r="A12">
        <v>11</v>
      </c>
      <c r="B12" t="s">
        <v>440</v>
      </c>
      <c r="C12" t="s">
        <v>453</v>
      </c>
      <c r="D12" t="s">
        <v>471</v>
      </c>
    </row>
    <row r="13" spans="1:4" x14ac:dyDescent="0.25">
      <c r="A13">
        <v>12</v>
      </c>
      <c r="B13" t="s">
        <v>308</v>
      </c>
      <c r="C13" t="s">
        <v>454</v>
      </c>
      <c r="D13" t="s">
        <v>472</v>
      </c>
    </row>
    <row r="14" spans="1:4" x14ac:dyDescent="0.25">
      <c r="A14">
        <v>13</v>
      </c>
      <c r="B14" t="s">
        <v>441</v>
      </c>
      <c r="C14" t="s">
        <v>455</v>
      </c>
      <c r="D14" t="s">
        <v>473</v>
      </c>
    </row>
    <row r="15" spans="1:4" x14ac:dyDescent="0.25">
      <c r="A15">
        <v>14</v>
      </c>
      <c r="B15" t="s">
        <v>442</v>
      </c>
      <c r="C15" t="s">
        <v>456</v>
      </c>
      <c r="D15" t="s">
        <v>474</v>
      </c>
    </row>
    <row r="16" spans="1:4" x14ac:dyDescent="0.25">
      <c r="A16">
        <v>15</v>
      </c>
      <c r="B16" t="s">
        <v>35</v>
      </c>
      <c r="C16" t="s">
        <v>457</v>
      </c>
      <c r="D16" t="s">
        <v>475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11DB-7CD8-4E14-A123-BBB09CE6CF3E}">
  <dimension ref="A1:F58"/>
  <sheetViews>
    <sheetView topLeftCell="A7" workbookViewId="0">
      <selection activeCell="C43" sqref="C43"/>
    </sheetView>
  </sheetViews>
  <sheetFormatPr defaultRowHeight="15" x14ac:dyDescent="0.25"/>
  <cols>
    <col min="2" max="2" width="9.28515625" customWidth="1"/>
    <col min="3" max="3" width="11.42578125" customWidth="1"/>
  </cols>
  <sheetData>
    <row r="1" spans="1:6" x14ac:dyDescent="0.25">
      <c r="A1" t="s">
        <v>381</v>
      </c>
      <c r="B1" t="s">
        <v>382</v>
      </c>
      <c r="C1" t="s">
        <v>298</v>
      </c>
      <c r="D1" t="s">
        <v>460</v>
      </c>
      <c r="E1" t="s">
        <v>476</v>
      </c>
      <c r="F1" t="s">
        <v>477</v>
      </c>
    </row>
    <row r="2" spans="1:6" x14ac:dyDescent="0.25">
      <c r="A2" s="17">
        <v>43</v>
      </c>
      <c r="B2" t="s">
        <v>380</v>
      </c>
      <c r="C2" t="s">
        <v>325</v>
      </c>
      <c r="E2" t="s">
        <v>537</v>
      </c>
      <c r="F2" t="s">
        <v>536</v>
      </c>
    </row>
    <row r="3" spans="1:6" x14ac:dyDescent="0.25">
      <c r="A3" s="17">
        <v>44</v>
      </c>
      <c r="B3" t="s">
        <v>26</v>
      </c>
      <c r="C3" t="s">
        <v>326</v>
      </c>
      <c r="E3" t="s">
        <v>507</v>
      </c>
      <c r="F3" t="s">
        <v>478</v>
      </c>
    </row>
    <row r="4" spans="1:6" x14ac:dyDescent="0.25">
      <c r="A4" s="17">
        <v>33</v>
      </c>
      <c r="B4" t="s">
        <v>95</v>
      </c>
      <c r="C4" t="s">
        <v>327</v>
      </c>
      <c r="E4" t="s">
        <v>508</v>
      </c>
      <c r="F4" t="s">
        <v>479</v>
      </c>
    </row>
    <row r="5" spans="1:6" x14ac:dyDescent="0.25">
      <c r="A5" s="17">
        <v>34</v>
      </c>
      <c r="B5" t="s">
        <v>299</v>
      </c>
      <c r="C5" t="s">
        <v>328</v>
      </c>
      <c r="E5" t="s">
        <v>509</v>
      </c>
      <c r="F5" t="s">
        <v>480</v>
      </c>
    </row>
    <row r="6" spans="1:6" x14ac:dyDescent="0.25">
      <c r="A6" s="17">
        <v>35</v>
      </c>
      <c r="B6" t="s">
        <v>300</v>
      </c>
      <c r="C6" t="s">
        <v>329</v>
      </c>
      <c r="E6" t="s">
        <v>510</v>
      </c>
      <c r="F6" t="s">
        <v>481</v>
      </c>
    </row>
    <row r="7" spans="1:6" x14ac:dyDescent="0.25">
      <c r="A7" s="17">
        <v>36</v>
      </c>
      <c r="B7" t="s">
        <v>300</v>
      </c>
      <c r="C7" t="s">
        <v>330</v>
      </c>
      <c r="E7" t="s">
        <v>510</v>
      </c>
      <c r="F7" t="s">
        <v>481</v>
      </c>
    </row>
    <row r="8" spans="1:6" x14ac:dyDescent="0.25">
      <c r="A8" s="17">
        <v>37</v>
      </c>
      <c r="B8" t="s">
        <v>301</v>
      </c>
      <c r="C8" t="s">
        <v>331</v>
      </c>
      <c r="E8" t="s">
        <v>511</v>
      </c>
      <c r="F8" t="s">
        <v>482</v>
      </c>
    </row>
    <row r="9" spans="1:6" x14ac:dyDescent="0.25">
      <c r="A9" s="17">
        <v>38</v>
      </c>
      <c r="B9" t="s">
        <v>302</v>
      </c>
      <c r="C9" t="s">
        <v>332</v>
      </c>
      <c r="E9" t="s">
        <v>512</v>
      </c>
      <c r="F9" t="s">
        <v>483</v>
      </c>
    </row>
    <row r="10" spans="1:6" x14ac:dyDescent="0.25">
      <c r="A10" s="17">
        <v>39</v>
      </c>
      <c r="B10" t="s">
        <v>302</v>
      </c>
      <c r="C10" t="s">
        <v>333</v>
      </c>
      <c r="E10" t="s">
        <v>512</v>
      </c>
      <c r="F10" t="s">
        <v>483</v>
      </c>
    </row>
    <row r="11" spans="1:6" x14ac:dyDescent="0.25">
      <c r="A11" s="17">
        <v>40</v>
      </c>
      <c r="B11" t="s">
        <v>303</v>
      </c>
      <c r="C11" t="s">
        <v>334</v>
      </c>
      <c r="E11" t="s">
        <v>513</v>
      </c>
      <c r="F11" t="s">
        <v>484</v>
      </c>
    </row>
    <row r="12" spans="1:6" x14ac:dyDescent="0.25">
      <c r="A12" s="17">
        <v>41</v>
      </c>
      <c r="B12" t="s">
        <v>304</v>
      </c>
      <c r="C12" t="s">
        <v>335</v>
      </c>
      <c r="E12" t="s">
        <v>514</v>
      </c>
      <c r="F12" t="s">
        <v>485</v>
      </c>
    </row>
    <row r="13" spans="1:6" x14ac:dyDescent="0.25">
      <c r="A13" s="17">
        <v>42</v>
      </c>
      <c r="B13" t="s">
        <v>304</v>
      </c>
      <c r="C13" t="s">
        <v>335</v>
      </c>
      <c r="E13" t="s">
        <v>515</v>
      </c>
      <c r="F13" t="s">
        <v>486</v>
      </c>
    </row>
    <row r="14" spans="1:6" x14ac:dyDescent="0.25">
      <c r="A14" s="17">
        <v>45</v>
      </c>
      <c r="B14" t="s">
        <v>305</v>
      </c>
      <c r="C14" t="s">
        <v>336</v>
      </c>
      <c r="E14" t="s">
        <v>509</v>
      </c>
      <c r="F14" t="s">
        <v>480</v>
      </c>
    </row>
    <row r="15" spans="1:6" x14ac:dyDescent="0.25">
      <c r="A15" s="17">
        <v>47</v>
      </c>
      <c r="B15" t="s">
        <v>306</v>
      </c>
      <c r="C15" t="s">
        <v>337</v>
      </c>
      <c r="E15" t="s">
        <v>516</v>
      </c>
      <c r="F15" t="s">
        <v>487</v>
      </c>
    </row>
    <row r="16" spans="1:6" x14ac:dyDescent="0.25">
      <c r="A16" s="17">
        <v>48</v>
      </c>
      <c r="B16" t="s">
        <v>307</v>
      </c>
      <c r="C16" t="s">
        <v>338</v>
      </c>
      <c r="E16" t="s">
        <v>517</v>
      </c>
      <c r="F16" t="s">
        <v>488</v>
      </c>
    </row>
    <row r="17" spans="1:6" x14ac:dyDescent="0.25">
      <c r="A17" s="17">
        <v>49</v>
      </c>
      <c r="B17" t="s">
        <v>308</v>
      </c>
      <c r="C17" t="s">
        <v>339</v>
      </c>
      <c r="E17" t="s">
        <v>518</v>
      </c>
      <c r="F17" t="s">
        <v>489</v>
      </c>
    </row>
    <row r="18" spans="1:6" x14ac:dyDescent="0.25">
      <c r="A18" s="17">
        <v>50</v>
      </c>
      <c r="B18" t="s">
        <v>309</v>
      </c>
      <c r="C18" t="s">
        <v>340</v>
      </c>
      <c r="E18" t="s">
        <v>519</v>
      </c>
      <c r="F18" t="s">
        <v>490</v>
      </c>
    </row>
    <row r="19" spans="1:6" x14ac:dyDescent="0.25">
      <c r="A19" s="17">
        <v>51</v>
      </c>
      <c r="B19" t="s">
        <v>14</v>
      </c>
      <c r="C19" t="s">
        <v>341</v>
      </c>
      <c r="E19" t="s">
        <v>509</v>
      </c>
      <c r="F19" t="s">
        <v>480</v>
      </c>
    </row>
    <row r="20" spans="1:6" x14ac:dyDescent="0.25">
      <c r="A20" s="17">
        <v>52</v>
      </c>
      <c r="B20" t="s">
        <v>310</v>
      </c>
      <c r="C20" t="s">
        <v>342</v>
      </c>
      <c r="E20" t="s">
        <v>520</v>
      </c>
      <c r="F20" t="s">
        <v>491</v>
      </c>
    </row>
    <row r="21" spans="1:6" x14ac:dyDescent="0.25">
      <c r="A21" s="17">
        <v>54</v>
      </c>
      <c r="B21" t="s">
        <v>311</v>
      </c>
      <c r="C21" t="s">
        <v>343</v>
      </c>
      <c r="E21" t="s">
        <v>521</v>
      </c>
      <c r="F21" t="s">
        <v>492</v>
      </c>
    </row>
    <row r="22" spans="1:6" x14ac:dyDescent="0.25">
      <c r="A22" s="17">
        <v>55</v>
      </c>
      <c r="B22" t="s">
        <v>312</v>
      </c>
      <c r="C22" t="s">
        <v>344</v>
      </c>
      <c r="E22" t="s">
        <v>522</v>
      </c>
      <c r="F22" t="s">
        <v>493</v>
      </c>
    </row>
    <row r="23" spans="1:6" x14ac:dyDescent="0.25">
      <c r="A23" s="17">
        <v>57</v>
      </c>
      <c r="B23" t="s">
        <v>96</v>
      </c>
      <c r="C23" t="s">
        <v>345</v>
      </c>
      <c r="E23" t="s">
        <v>510</v>
      </c>
      <c r="F23" t="s">
        <v>481</v>
      </c>
    </row>
    <row r="24" spans="1:6" x14ac:dyDescent="0.25">
      <c r="A24" s="17">
        <v>1</v>
      </c>
      <c r="B24" t="s">
        <v>313</v>
      </c>
      <c r="C24" t="s">
        <v>346</v>
      </c>
      <c r="E24" t="s">
        <v>523</v>
      </c>
      <c r="F24" t="s">
        <v>494</v>
      </c>
    </row>
    <row r="25" spans="1:6" x14ac:dyDescent="0.25">
      <c r="A25" s="17">
        <v>2</v>
      </c>
      <c r="B25" t="s">
        <v>314</v>
      </c>
      <c r="C25" t="s">
        <v>347</v>
      </c>
      <c r="E25" t="s">
        <v>524</v>
      </c>
      <c r="F25" t="s">
        <v>495</v>
      </c>
    </row>
    <row r="26" spans="1:6" x14ac:dyDescent="0.25">
      <c r="A26" s="17">
        <v>3</v>
      </c>
      <c r="B26" t="s">
        <v>315</v>
      </c>
      <c r="C26" t="s">
        <v>348</v>
      </c>
      <c r="E26" t="s">
        <v>525</v>
      </c>
      <c r="F26" t="s">
        <v>496</v>
      </c>
    </row>
    <row r="27" spans="1:6" x14ac:dyDescent="0.25">
      <c r="A27" s="17">
        <v>4</v>
      </c>
      <c r="B27" t="s">
        <v>315</v>
      </c>
      <c r="C27" t="s">
        <v>349</v>
      </c>
      <c r="E27" t="s">
        <v>525</v>
      </c>
      <c r="F27" t="s">
        <v>496</v>
      </c>
    </row>
    <row r="28" spans="1:6" x14ac:dyDescent="0.25">
      <c r="A28" s="17">
        <v>5</v>
      </c>
      <c r="B28" t="s">
        <v>94</v>
      </c>
      <c r="C28" t="s">
        <v>350</v>
      </c>
      <c r="E28" t="s">
        <v>526</v>
      </c>
      <c r="F28" t="s">
        <v>497</v>
      </c>
    </row>
    <row r="29" spans="1:6" x14ac:dyDescent="0.25">
      <c r="A29" s="17">
        <v>6</v>
      </c>
      <c r="B29" t="s">
        <v>316</v>
      </c>
      <c r="C29" t="s">
        <v>351</v>
      </c>
      <c r="E29" s="18">
        <v>34.145989999999998</v>
      </c>
      <c r="F29" s="18">
        <v>-107.84523</v>
      </c>
    </row>
    <row r="30" spans="1:6" x14ac:dyDescent="0.25">
      <c r="A30" s="17">
        <v>7</v>
      </c>
      <c r="B30" t="s">
        <v>307</v>
      </c>
      <c r="C30" t="s">
        <v>352</v>
      </c>
      <c r="E30" t="s">
        <v>517</v>
      </c>
      <c r="F30" t="s">
        <v>488</v>
      </c>
    </row>
    <row r="31" spans="1:6" x14ac:dyDescent="0.25">
      <c r="A31" s="17">
        <v>8</v>
      </c>
      <c r="B31" t="s">
        <v>317</v>
      </c>
      <c r="C31" t="s">
        <v>353</v>
      </c>
      <c r="E31" t="s">
        <v>527</v>
      </c>
      <c r="F31" t="s">
        <v>498</v>
      </c>
    </row>
    <row r="32" spans="1:6" x14ac:dyDescent="0.25">
      <c r="A32" s="17">
        <v>9</v>
      </c>
      <c r="B32" t="s">
        <v>318</v>
      </c>
      <c r="C32" t="s">
        <v>354</v>
      </c>
      <c r="E32" t="s">
        <v>528</v>
      </c>
      <c r="F32" t="s">
        <v>499</v>
      </c>
    </row>
    <row r="33" spans="1:6" x14ac:dyDescent="0.25">
      <c r="A33" s="17">
        <v>10</v>
      </c>
      <c r="B33" t="s">
        <v>29</v>
      </c>
      <c r="C33" t="s">
        <v>355</v>
      </c>
      <c r="E33" t="s">
        <v>527</v>
      </c>
      <c r="F33" t="s">
        <v>498</v>
      </c>
    </row>
    <row r="34" spans="1:6" x14ac:dyDescent="0.25">
      <c r="A34" s="17">
        <v>11</v>
      </c>
      <c r="B34" t="s">
        <v>318</v>
      </c>
      <c r="C34" t="s">
        <v>356</v>
      </c>
      <c r="E34" t="s">
        <v>528</v>
      </c>
      <c r="F34" t="s">
        <v>499</v>
      </c>
    </row>
    <row r="35" spans="1:6" x14ac:dyDescent="0.25">
      <c r="A35" s="17">
        <v>12</v>
      </c>
      <c r="B35" t="s">
        <v>318</v>
      </c>
      <c r="C35" t="s">
        <v>357</v>
      </c>
      <c r="E35" t="s">
        <v>529</v>
      </c>
      <c r="F35" t="s">
        <v>500</v>
      </c>
    </row>
    <row r="36" spans="1:6" x14ac:dyDescent="0.25">
      <c r="A36" s="17">
        <v>13</v>
      </c>
      <c r="B36" t="s">
        <v>311</v>
      </c>
      <c r="C36" t="s">
        <v>358</v>
      </c>
      <c r="E36" t="s">
        <v>521</v>
      </c>
      <c r="F36" t="s">
        <v>492</v>
      </c>
    </row>
    <row r="37" spans="1:6" x14ac:dyDescent="0.25">
      <c r="A37" s="17">
        <v>14</v>
      </c>
      <c r="B37" t="s">
        <v>318</v>
      </c>
      <c r="C37" t="s">
        <v>359</v>
      </c>
      <c r="E37" t="s">
        <v>528</v>
      </c>
      <c r="F37" t="s">
        <v>499</v>
      </c>
    </row>
    <row r="38" spans="1:6" x14ac:dyDescent="0.25">
      <c r="A38" s="17">
        <v>15</v>
      </c>
      <c r="B38" t="s">
        <v>319</v>
      </c>
      <c r="C38" t="s">
        <v>360</v>
      </c>
      <c r="E38" t="s">
        <v>530</v>
      </c>
      <c r="F38" t="s">
        <v>501</v>
      </c>
    </row>
    <row r="39" spans="1:6" x14ac:dyDescent="0.25">
      <c r="A39" s="17">
        <v>16</v>
      </c>
      <c r="B39" t="s">
        <v>320</v>
      </c>
      <c r="C39" t="s">
        <v>361</v>
      </c>
      <c r="E39" t="s">
        <v>517</v>
      </c>
      <c r="F39" t="s">
        <v>488</v>
      </c>
    </row>
    <row r="40" spans="1:6" x14ac:dyDescent="0.25">
      <c r="A40" s="17">
        <v>17</v>
      </c>
      <c r="B40" t="s">
        <v>321</v>
      </c>
      <c r="C40" t="s">
        <v>362</v>
      </c>
      <c r="E40" t="s">
        <v>531</v>
      </c>
      <c r="F40" t="s">
        <v>502</v>
      </c>
    </row>
    <row r="41" spans="1:6" x14ac:dyDescent="0.25">
      <c r="A41" s="17">
        <v>18</v>
      </c>
      <c r="B41" t="s">
        <v>313</v>
      </c>
      <c r="C41" t="s">
        <v>363</v>
      </c>
      <c r="E41" t="s">
        <v>523</v>
      </c>
      <c r="F41" t="s">
        <v>494</v>
      </c>
    </row>
    <row r="42" spans="1:6" x14ac:dyDescent="0.25">
      <c r="A42" s="17">
        <v>19</v>
      </c>
      <c r="B42" t="s">
        <v>17</v>
      </c>
      <c r="C42" t="s">
        <v>364</v>
      </c>
      <c r="E42" t="s">
        <v>532</v>
      </c>
      <c r="F42" t="s">
        <v>503</v>
      </c>
    </row>
    <row r="43" spans="1:6" x14ac:dyDescent="0.25">
      <c r="A43" s="17">
        <v>20</v>
      </c>
      <c r="B43" t="s">
        <v>308</v>
      </c>
      <c r="C43" t="s">
        <v>365</v>
      </c>
      <c r="E43" t="s">
        <v>518</v>
      </c>
      <c r="F43" t="s">
        <v>489</v>
      </c>
    </row>
    <row r="44" spans="1:6" x14ac:dyDescent="0.25">
      <c r="A44" s="17">
        <v>21</v>
      </c>
      <c r="B44" t="s">
        <v>322</v>
      </c>
      <c r="C44" t="s">
        <v>366</v>
      </c>
      <c r="E44" t="s">
        <v>533</v>
      </c>
      <c r="F44" t="s">
        <v>504</v>
      </c>
    </row>
    <row r="45" spans="1:6" x14ac:dyDescent="0.25">
      <c r="A45" s="17">
        <v>22</v>
      </c>
      <c r="B45" t="s">
        <v>322</v>
      </c>
      <c r="C45" t="s">
        <v>367</v>
      </c>
      <c r="E45" t="s">
        <v>533</v>
      </c>
      <c r="F45" t="s">
        <v>504</v>
      </c>
    </row>
    <row r="46" spans="1:6" x14ac:dyDescent="0.25">
      <c r="A46" s="17">
        <v>23</v>
      </c>
      <c r="B46" t="s">
        <v>322</v>
      </c>
      <c r="C46" t="s">
        <v>367</v>
      </c>
      <c r="E46" t="s">
        <v>533</v>
      </c>
      <c r="F46" t="s">
        <v>504</v>
      </c>
    </row>
    <row r="47" spans="1:6" x14ac:dyDescent="0.25">
      <c r="A47" s="17">
        <v>24</v>
      </c>
      <c r="B47" t="s">
        <v>303</v>
      </c>
      <c r="C47" t="s">
        <v>368</v>
      </c>
      <c r="E47" t="s">
        <v>513</v>
      </c>
      <c r="F47" t="s">
        <v>484</v>
      </c>
    </row>
    <row r="48" spans="1:6" x14ac:dyDescent="0.25">
      <c r="A48" s="17">
        <v>25</v>
      </c>
      <c r="B48" t="s">
        <v>303</v>
      </c>
      <c r="C48" t="s">
        <v>369</v>
      </c>
      <c r="E48" t="s">
        <v>513</v>
      </c>
      <c r="F48" t="s">
        <v>484</v>
      </c>
    </row>
    <row r="49" spans="1:6" x14ac:dyDescent="0.25">
      <c r="A49" s="17">
        <v>26</v>
      </c>
      <c r="B49" t="s">
        <v>323</v>
      </c>
      <c r="C49" t="s">
        <v>370</v>
      </c>
      <c r="E49" t="s">
        <v>534</v>
      </c>
      <c r="F49" t="s">
        <v>505</v>
      </c>
    </row>
    <row r="50" spans="1:6" x14ac:dyDescent="0.25">
      <c r="A50" s="17">
        <v>27</v>
      </c>
      <c r="B50" t="s">
        <v>29</v>
      </c>
      <c r="C50" t="s">
        <v>371</v>
      </c>
      <c r="E50" t="s">
        <v>527</v>
      </c>
      <c r="F50" t="s">
        <v>498</v>
      </c>
    </row>
    <row r="51" spans="1:6" x14ac:dyDescent="0.25">
      <c r="A51" s="17">
        <v>28</v>
      </c>
      <c r="B51" t="s">
        <v>29</v>
      </c>
      <c r="C51" t="s">
        <v>372</v>
      </c>
      <c r="E51" t="s">
        <v>527</v>
      </c>
      <c r="F51" t="s">
        <v>498</v>
      </c>
    </row>
    <row r="52" spans="1:6" x14ac:dyDescent="0.25">
      <c r="A52" s="17">
        <v>29</v>
      </c>
      <c r="B52" t="s">
        <v>95</v>
      </c>
      <c r="C52" t="s">
        <v>373</v>
      </c>
      <c r="E52" t="s">
        <v>508</v>
      </c>
      <c r="F52" t="s">
        <v>479</v>
      </c>
    </row>
    <row r="53" spans="1:6" x14ac:dyDescent="0.25">
      <c r="A53" s="17">
        <v>30</v>
      </c>
      <c r="B53" t="s">
        <v>323</v>
      </c>
      <c r="C53" t="s">
        <v>374</v>
      </c>
      <c r="E53" t="s">
        <v>534</v>
      </c>
      <c r="F53" t="s">
        <v>505</v>
      </c>
    </row>
    <row r="54" spans="1:6" x14ac:dyDescent="0.25">
      <c r="A54" s="17">
        <v>31</v>
      </c>
      <c r="B54" t="s">
        <v>321</v>
      </c>
      <c r="C54" t="s">
        <v>375</v>
      </c>
      <c r="E54" t="s">
        <v>531</v>
      </c>
      <c r="F54" t="s">
        <v>502</v>
      </c>
    </row>
    <row r="55" spans="1:6" x14ac:dyDescent="0.25">
      <c r="A55" s="17">
        <v>32</v>
      </c>
      <c r="B55" t="s">
        <v>96</v>
      </c>
      <c r="C55" t="s">
        <v>376</v>
      </c>
      <c r="E55" t="s">
        <v>510</v>
      </c>
      <c r="F55" t="s">
        <v>481</v>
      </c>
    </row>
    <row r="56" spans="1:6" x14ac:dyDescent="0.25">
      <c r="A56" s="17">
        <v>53</v>
      </c>
      <c r="B56" t="s">
        <v>170</v>
      </c>
      <c r="C56" t="s">
        <v>377</v>
      </c>
      <c r="E56" t="s">
        <v>532</v>
      </c>
      <c r="F56" t="s">
        <v>503</v>
      </c>
    </row>
    <row r="57" spans="1:6" x14ac:dyDescent="0.25">
      <c r="A57" s="17">
        <v>56</v>
      </c>
      <c r="B57" t="s">
        <v>299</v>
      </c>
      <c r="C57" t="s">
        <v>378</v>
      </c>
      <c r="E57" t="s">
        <v>509</v>
      </c>
      <c r="F57" t="s">
        <v>480</v>
      </c>
    </row>
    <row r="58" spans="1:6" x14ac:dyDescent="0.25">
      <c r="A58" s="17">
        <v>46</v>
      </c>
      <c r="B58" t="s">
        <v>324</v>
      </c>
      <c r="C58" t="s">
        <v>379</v>
      </c>
      <c r="E58" t="s">
        <v>535</v>
      </c>
      <c r="F58" t="s">
        <v>506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466-8E76-4EBB-B7D3-D4A2F523890D}">
  <dimension ref="A1:H96"/>
  <sheetViews>
    <sheetView topLeftCell="A4" workbookViewId="0">
      <selection activeCell="F2" sqref="F2:F71"/>
    </sheetView>
  </sheetViews>
  <sheetFormatPr defaultRowHeight="15" x14ac:dyDescent="0.25"/>
  <cols>
    <col min="2" max="2" width="32.5703125" customWidth="1"/>
    <col min="5" max="5" width="11.28515625" customWidth="1"/>
  </cols>
  <sheetData>
    <row r="1" spans="1:6" x14ac:dyDescent="0.25">
      <c r="A1" t="s">
        <v>202</v>
      </c>
      <c r="B1" t="s">
        <v>203</v>
      </c>
      <c r="C1" t="s">
        <v>210</v>
      </c>
      <c r="D1" t="s">
        <v>298</v>
      </c>
      <c r="E1" t="s">
        <v>460</v>
      </c>
      <c r="F1" t="s">
        <v>560</v>
      </c>
    </row>
    <row r="2" spans="1:6" x14ac:dyDescent="0.25">
      <c r="A2" s="17">
        <v>70</v>
      </c>
      <c r="B2" s="17" t="s">
        <v>147</v>
      </c>
      <c r="C2" s="17" t="s">
        <v>211</v>
      </c>
      <c r="D2" t="s">
        <v>228</v>
      </c>
      <c r="E2" s="19" t="s">
        <v>561</v>
      </c>
      <c r="F2" s="19"/>
    </row>
    <row r="3" spans="1:6" x14ac:dyDescent="0.25">
      <c r="A3" s="17">
        <v>38</v>
      </c>
      <c r="B3" s="17" t="s">
        <v>148</v>
      </c>
      <c r="C3" s="17" t="s">
        <v>212</v>
      </c>
      <c r="D3" t="s">
        <v>229</v>
      </c>
      <c r="E3" s="19"/>
      <c r="F3" s="19" t="s">
        <v>624</v>
      </c>
    </row>
    <row r="4" spans="1:6" ht="24" x14ac:dyDescent="0.25">
      <c r="A4" s="17">
        <v>42</v>
      </c>
      <c r="B4" s="17" t="s">
        <v>149</v>
      </c>
      <c r="C4" s="17" t="s">
        <v>213</v>
      </c>
      <c r="D4" t="s">
        <v>230</v>
      </c>
      <c r="E4" s="19" t="s">
        <v>562</v>
      </c>
      <c r="F4" s="19"/>
    </row>
    <row r="5" spans="1:6" ht="24" x14ac:dyDescent="0.25">
      <c r="A5" s="17">
        <v>48</v>
      </c>
      <c r="B5" s="17" t="s">
        <v>150</v>
      </c>
      <c r="C5" s="17" t="s">
        <v>214</v>
      </c>
      <c r="D5" t="s">
        <v>231</v>
      </c>
      <c r="E5" s="19" t="s">
        <v>563</v>
      </c>
      <c r="F5" s="19"/>
    </row>
    <row r="6" spans="1:6" x14ac:dyDescent="0.25">
      <c r="A6" s="17">
        <v>50</v>
      </c>
      <c r="B6" s="17" t="s">
        <v>151</v>
      </c>
      <c r="C6" s="17" t="s">
        <v>215</v>
      </c>
      <c r="D6" t="s">
        <v>232</v>
      </c>
      <c r="E6" s="19" t="s">
        <v>564</v>
      </c>
      <c r="F6" s="19"/>
    </row>
    <row r="7" spans="1:6" x14ac:dyDescent="0.25">
      <c r="A7" s="17">
        <v>51</v>
      </c>
      <c r="B7" s="17" t="s">
        <v>152</v>
      </c>
      <c r="C7" s="17" t="s">
        <v>216</v>
      </c>
      <c r="D7" t="s">
        <v>233</v>
      </c>
      <c r="E7" s="19" t="s">
        <v>565</v>
      </c>
      <c r="F7" s="19"/>
    </row>
    <row r="8" spans="1:6" x14ac:dyDescent="0.25">
      <c r="A8" s="17">
        <v>53</v>
      </c>
      <c r="B8" s="17" t="s">
        <v>153</v>
      </c>
      <c r="C8" s="17" t="s">
        <v>217</v>
      </c>
      <c r="D8" t="s">
        <v>234</v>
      </c>
      <c r="E8" s="19"/>
      <c r="F8" s="19" t="s">
        <v>625</v>
      </c>
    </row>
    <row r="9" spans="1:6" x14ac:dyDescent="0.25">
      <c r="A9" s="17">
        <v>56</v>
      </c>
      <c r="B9" s="17" t="s">
        <v>154</v>
      </c>
      <c r="C9" s="17" t="s">
        <v>213</v>
      </c>
      <c r="D9" t="s">
        <v>235</v>
      </c>
      <c r="E9" s="19" t="s">
        <v>566</v>
      </c>
      <c r="F9" s="19"/>
    </row>
    <row r="10" spans="1:6" x14ac:dyDescent="0.25">
      <c r="A10" s="17">
        <v>58</v>
      </c>
      <c r="B10" s="17" t="s">
        <v>155</v>
      </c>
      <c r="C10" s="17" t="s">
        <v>214</v>
      </c>
      <c r="D10" t="s">
        <v>236</v>
      </c>
      <c r="E10" s="19" t="s">
        <v>567</v>
      </c>
      <c r="F10" s="19"/>
    </row>
    <row r="11" spans="1:6" x14ac:dyDescent="0.25">
      <c r="A11" s="17">
        <v>66</v>
      </c>
      <c r="B11" s="17" t="s">
        <v>156</v>
      </c>
      <c r="C11" s="17" t="s">
        <v>218</v>
      </c>
      <c r="D11" t="s">
        <v>237</v>
      </c>
      <c r="E11" s="19" t="s">
        <v>568</v>
      </c>
      <c r="F11" s="19"/>
    </row>
    <row r="12" spans="1:6" x14ac:dyDescent="0.25">
      <c r="A12" s="17">
        <v>12</v>
      </c>
      <c r="B12" s="17" t="s">
        <v>157</v>
      </c>
      <c r="C12" s="17" t="s">
        <v>214</v>
      </c>
      <c r="D12" t="s">
        <v>238</v>
      </c>
      <c r="E12" s="19" t="s">
        <v>569</v>
      </c>
      <c r="F12" s="19"/>
    </row>
    <row r="13" spans="1:6" x14ac:dyDescent="0.25">
      <c r="A13" s="17">
        <v>14</v>
      </c>
      <c r="B13" s="17" t="s">
        <v>158</v>
      </c>
      <c r="C13" s="17" t="s">
        <v>219</v>
      </c>
      <c r="D13" t="s">
        <v>239</v>
      </c>
      <c r="E13" s="19" t="s">
        <v>570</v>
      </c>
      <c r="F13" s="19"/>
    </row>
    <row r="14" spans="1:6" x14ac:dyDescent="0.25">
      <c r="A14" s="17">
        <v>21</v>
      </c>
      <c r="B14" s="17" t="s">
        <v>159</v>
      </c>
      <c r="C14" s="17" t="s">
        <v>219</v>
      </c>
      <c r="D14" t="s">
        <v>240</v>
      </c>
      <c r="E14" s="19"/>
      <c r="F14" s="19" t="s">
        <v>626</v>
      </c>
    </row>
    <row r="15" spans="1:6" ht="24" x14ac:dyDescent="0.25">
      <c r="A15" s="17">
        <v>32</v>
      </c>
      <c r="B15" s="17" t="s">
        <v>160</v>
      </c>
      <c r="C15" s="17" t="s">
        <v>220</v>
      </c>
      <c r="D15" t="s">
        <v>241</v>
      </c>
      <c r="E15" s="19" t="s">
        <v>571</v>
      </c>
      <c r="F15" s="19"/>
    </row>
    <row r="16" spans="1:6" x14ac:dyDescent="0.25">
      <c r="A16" s="17">
        <v>1</v>
      </c>
      <c r="B16" s="17" t="s">
        <v>161</v>
      </c>
      <c r="C16" s="17" t="s">
        <v>221</v>
      </c>
      <c r="D16" t="s">
        <v>242</v>
      </c>
      <c r="E16" s="19" t="s">
        <v>572</v>
      </c>
      <c r="F16" s="19"/>
    </row>
    <row r="17" spans="1:6" x14ac:dyDescent="0.25">
      <c r="A17" s="17">
        <v>3</v>
      </c>
      <c r="B17" s="17" t="s">
        <v>162</v>
      </c>
      <c r="C17" s="17" t="s">
        <v>211</v>
      </c>
      <c r="D17" t="s">
        <v>243</v>
      </c>
      <c r="E17" s="19" t="s">
        <v>573</v>
      </c>
      <c r="F17" s="19"/>
    </row>
    <row r="18" spans="1:6" x14ac:dyDescent="0.25">
      <c r="A18" s="17">
        <v>4</v>
      </c>
      <c r="B18" s="17" t="s">
        <v>136</v>
      </c>
      <c r="C18" s="17" t="s">
        <v>222</v>
      </c>
      <c r="D18" t="s">
        <v>244</v>
      </c>
      <c r="E18" s="19" t="s">
        <v>574</v>
      </c>
      <c r="F18" s="19"/>
    </row>
    <row r="19" spans="1:6" x14ac:dyDescent="0.25">
      <c r="A19" s="17">
        <v>6</v>
      </c>
      <c r="B19" s="17" t="s">
        <v>163</v>
      </c>
      <c r="C19" s="17" t="s">
        <v>213</v>
      </c>
      <c r="D19" t="s">
        <v>245</v>
      </c>
      <c r="E19" s="19" t="s">
        <v>575</v>
      </c>
      <c r="F19" s="19"/>
    </row>
    <row r="20" spans="1:6" x14ac:dyDescent="0.25">
      <c r="A20" s="17">
        <v>9</v>
      </c>
      <c r="B20" s="17" t="s">
        <v>162</v>
      </c>
      <c r="C20" s="17" t="s">
        <v>211</v>
      </c>
      <c r="D20" t="s">
        <v>246</v>
      </c>
      <c r="E20" s="19" t="s">
        <v>576</v>
      </c>
      <c r="F20" s="19"/>
    </row>
    <row r="21" spans="1:6" x14ac:dyDescent="0.25">
      <c r="A21" s="17">
        <v>10</v>
      </c>
      <c r="B21" s="17" t="s">
        <v>137</v>
      </c>
      <c r="C21" s="17" t="s">
        <v>223</v>
      </c>
      <c r="D21" t="s">
        <v>247</v>
      </c>
      <c r="E21" s="19" t="s">
        <v>577</v>
      </c>
      <c r="F21" s="19"/>
    </row>
    <row r="22" spans="1:6" x14ac:dyDescent="0.25">
      <c r="A22" s="17">
        <v>2</v>
      </c>
      <c r="B22" s="17" t="s">
        <v>144</v>
      </c>
      <c r="C22" s="17" t="s">
        <v>223</v>
      </c>
      <c r="D22" t="s">
        <v>248</v>
      </c>
      <c r="E22" s="19" t="s">
        <v>578</v>
      </c>
      <c r="F22" s="19"/>
    </row>
    <row r="23" spans="1:6" x14ac:dyDescent="0.25">
      <c r="A23" s="17">
        <v>5</v>
      </c>
      <c r="B23" s="17" t="s">
        <v>145</v>
      </c>
      <c r="C23" s="17" t="s">
        <v>221</v>
      </c>
      <c r="D23" t="s">
        <v>249</v>
      </c>
      <c r="E23" s="19" t="s">
        <v>579</v>
      </c>
      <c r="F23" s="19"/>
    </row>
    <row r="24" spans="1:6" x14ac:dyDescent="0.25">
      <c r="A24" s="17">
        <v>7</v>
      </c>
      <c r="B24" s="17" t="s">
        <v>164</v>
      </c>
      <c r="C24" s="17" t="s">
        <v>224</v>
      </c>
      <c r="D24" t="s">
        <v>250</v>
      </c>
      <c r="E24" s="19" t="s">
        <v>580</v>
      </c>
      <c r="F24" s="19"/>
    </row>
    <row r="25" spans="1:6" x14ac:dyDescent="0.25">
      <c r="A25" s="17">
        <v>8</v>
      </c>
      <c r="B25" s="17" t="s">
        <v>165</v>
      </c>
      <c r="C25" s="17" t="s">
        <v>216</v>
      </c>
      <c r="D25" t="s">
        <v>251</v>
      </c>
      <c r="E25" s="19"/>
      <c r="F25" s="19" t="s">
        <v>627</v>
      </c>
    </row>
    <row r="26" spans="1:6" x14ac:dyDescent="0.25">
      <c r="A26" s="17">
        <v>11</v>
      </c>
      <c r="B26" s="17" t="s">
        <v>138</v>
      </c>
      <c r="C26" s="17" t="s">
        <v>216</v>
      </c>
      <c r="D26" t="s">
        <v>252</v>
      </c>
      <c r="E26" s="19" t="s">
        <v>581</v>
      </c>
      <c r="F26" s="19"/>
    </row>
    <row r="27" spans="1:6" x14ac:dyDescent="0.25">
      <c r="A27" s="17">
        <v>13</v>
      </c>
      <c r="B27" s="17" t="s">
        <v>166</v>
      </c>
      <c r="C27" s="17" t="s">
        <v>216</v>
      </c>
      <c r="D27" t="s">
        <v>253</v>
      </c>
      <c r="E27" s="19" t="s">
        <v>582</v>
      </c>
      <c r="F27" s="19"/>
    </row>
    <row r="28" spans="1:6" x14ac:dyDescent="0.25">
      <c r="A28" s="17">
        <v>15</v>
      </c>
      <c r="B28" s="17" t="s">
        <v>167</v>
      </c>
      <c r="C28" s="17" t="s">
        <v>220</v>
      </c>
      <c r="D28" t="s">
        <v>254</v>
      </c>
      <c r="E28" s="19" t="s">
        <v>583</v>
      </c>
      <c r="F28" s="19"/>
    </row>
    <row r="29" spans="1:6" ht="24" x14ac:dyDescent="0.25">
      <c r="A29" s="17">
        <v>16</v>
      </c>
      <c r="B29" s="17" t="s">
        <v>168</v>
      </c>
      <c r="C29" s="17" t="s">
        <v>225</v>
      </c>
      <c r="D29" t="s">
        <v>255</v>
      </c>
      <c r="E29" s="19" t="s">
        <v>584</v>
      </c>
      <c r="F29" s="19"/>
    </row>
    <row r="30" spans="1:6" x14ac:dyDescent="0.25">
      <c r="A30" s="17">
        <v>17</v>
      </c>
      <c r="B30" s="17" t="s">
        <v>146</v>
      </c>
      <c r="C30" s="17" t="s">
        <v>215</v>
      </c>
      <c r="D30" t="s">
        <v>256</v>
      </c>
      <c r="E30" s="19" t="s">
        <v>585</v>
      </c>
      <c r="F30" s="19"/>
    </row>
    <row r="31" spans="1:6" x14ac:dyDescent="0.25">
      <c r="A31" s="17">
        <v>18</v>
      </c>
      <c r="B31" s="17" t="s">
        <v>169</v>
      </c>
      <c r="C31" s="17" t="s">
        <v>226</v>
      </c>
      <c r="D31" t="s">
        <v>257</v>
      </c>
      <c r="E31" s="19" t="s">
        <v>586</v>
      </c>
      <c r="F31" s="19"/>
    </row>
    <row r="32" spans="1:6" x14ac:dyDescent="0.25">
      <c r="A32" s="17">
        <v>19</v>
      </c>
      <c r="B32" s="17" t="s">
        <v>170</v>
      </c>
      <c r="C32" s="17" t="s">
        <v>220</v>
      </c>
      <c r="D32" t="s">
        <v>258</v>
      </c>
      <c r="E32" s="19" t="s">
        <v>587</v>
      </c>
      <c r="F32" s="19"/>
    </row>
    <row r="33" spans="1:6" x14ac:dyDescent="0.25">
      <c r="A33" s="17">
        <v>20</v>
      </c>
      <c r="B33" s="17" t="s">
        <v>171</v>
      </c>
      <c r="C33" s="17" t="s">
        <v>220</v>
      </c>
      <c r="D33" t="s">
        <v>259</v>
      </c>
      <c r="E33" s="19" t="s">
        <v>588</v>
      </c>
      <c r="F33" s="19"/>
    </row>
    <row r="34" spans="1:6" ht="24" x14ac:dyDescent="0.25">
      <c r="A34" s="17">
        <v>22</v>
      </c>
      <c r="B34" s="17" t="s">
        <v>172</v>
      </c>
      <c r="C34" s="17" t="s">
        <v>221</v>
      </c>
      <c r="D34" t="s">
        <v>260</v>
      </c>
      <c r="E34" s="19" t="s">
        <v>589</v>
      </c>
      <c r="F34" s="19"/>
    </row>
    <row r="35" spans="1:6" ht="24" x14ac:dyDescent="0.25">
      <c r="A35" s="17">
        <v>23</v>
      </c>
      <c r="B35" s="17" t="s">
        <v>173</v>
      </c>
      <c r="C35" s="17" t="s">
        <v>221</v>
      </c>
      <c r="D35" t="s">
        <v>261</v>
      </c>
      <c r="E35" s="19" t="s">
        <v>590</v>
      </c>
      <c r="F35" s="19"/>
    </row>
    <row r="36" spans="1:6" ht="24" x14ac:dyDescent="0.25">
      <c r="A36" s="17">
        <v>24</v>
      </c>
      <c r="B36" s="17" t="s">
        <v>174</v>
      </c>
      <c r="C36" s="17" t="s">
        <v>217</v>
      </c>
      <c r="D36" t="s">
        <v>262</v>
      </c>
      <c r="E36" s="19" t="s">
        <v>591</v>
      </c>
      <c r="F36" s="19"/>
    </row>
    <row r="37" spans="1:6" x14ac:dyDescent="0.25">
      <c r="A37" s="17">
        <v>25</v>
      </c>
      <c r="B37" s="17" t="s">
        <v>175</v>
      </c>
      <c r="C37" s="17" t="s">
        <v>221</v>
      </c>
      <c r="D37" t="s">
        <v>263</v>
      </c>
      <c r="E37" s="19" t="s">
        <v>592</v>
      </c>
      <c r="F37" s="19"/>
    </row>
    <row r="38" spans="1:6" x14ac:dyDescent="0.25">
      <c r="A38" s="17">
        <v>26</v>
      </c>
      <c r="B38" s="17" t="s">
        <v>176</v>
      </c>
      <c r="C38" s="17" t="s">
        <v>221</v>
      </c>
      <c r="D38" t="s">
        <v>264</v>
      </c>
      <c r="E38" s="19" t="s">
        <v>593</v>
      </c>
      <c r="F38" s="19"/>
    </row>
    <row r="39" spans="1:6" x14ac:dyDescent="0.25">
      <c r="A39" s="17">
        <v>27</v>
      </c>
      <c r="B39" s="17" t="s">
        <v>170</v>
      </c>
      <c r="C39" s="17" t="s">
        <v>221</v>
      </c>
      <c r="D39" t="s">
        <v>265</v>
      </c>
      <c r="E39" s="19" t="s">
        <v>594</v>
      </c>
      <c r="F39" s="19"/>
    </row>
    <row r="40" spans="1:6" x14ac:dyDescent="0.25">
      <c r="A40" s="17">
        <v>28</v>
      </c>
      <c r="B40" s="17" t="s">
        <v>177</v>
      </c>
      <c r="C40" s="17" t="s">
        <v>216</v>
      </c>
      <c r="D40" t="s">
        <v>266</v>
      </c>
      <c r="E40" s="19" t="s">
        <v>595</v>
      </c>
      <c r="F40" s="19"/>
    </row>
    <row r="41" spans="1:6" x14ac:dyDescent="0.25">
      <c r="A41" s="17">
        <v>29</v>
      </c>
      <c r="B41" s="17" t="s">
        <v>140</v>
      </c>
      <c r="C41" s="17" t="s">
        <v>216</v>
      </c>
      <c r="D41" t="s">
        <v>267</v>
      </c>
      <c r="E41" s="19" t="s">
        <v>596</v>
      </c>
      <c r="F41" s="19"/>
    </row>
    <row r="42" spans="1:6" ht="24" x14ac:dyDescent="0.25">
      <c r="A42" s="17">
        <v>43</v>
      </c>
      <c r="B42" s="17" t="s">
        <v>178</v>
      </c>
      <c r="C42" s="17" t="s">
        <v>226</v>
      </c>
      <c r="D42" t="s">
        <v>268</v>
      </c>
      <c r="E42" s="19"/>
      <c r="F42" s="19" t="s">
        <v>628</v>
      </c>
    </row>
    <row r="43" spans="1:6" x14ac:dyDescent="0.25">
      <c r="A43" s="17">
        <v>44</v>
      </c>
      <c r="B43" s="17" t="s">
        <v>179</v>
      </c>
      <c r="C43" s="17" t="s">
        <v>226</v>
      </c>
      <c r="D43" t="s">
        <v>269</v>
      </c>
      <c r="E43" s="19" t="s">
        <v>597</v>
      </c>
      <c r="F43" s="19"/>
    </row>
    <row r="44" spans="1:6" x14ac:dyDescent="0.25">
      <c r="A44" s="17">
        <v>45</v>
      </c>
      <c r="B44" s="17" t="s">
        <v>179</v>
      </c>
      <c r="C44" s="17" t="s">
        <v>226</v>
      </c>
      <c r="D44" t="s">
        <v>270</v>
      </c>
      <c r="E44" s="19" t="s">
        <v>598</v>
      </c>
      <c r="F44" s="19"/>
    </row>
    <row r="45" spans="1:6" x14ac:dyDescent="0.25">
      <c r="A45" s="17">
        <v>46</v>
      </c>
      <c r="B45" s="17" t="s">
        <v>180</v>
      </c>
      <c r="C45" s="17" t="s">
        <v>226</v>
      </c>
      <c r="D45" t="s">
        <v>271</v>
      </c>
      <c r="E45" s="19" t="s">
        <v>599</v>
      </c>
      <c r="F45" s="19"/>
    </row>
    <row r="46" spans="1:6" x14ac:dyDescent="0.25">
      <c r="A46" s="17">
        <v>47</v>
      </c>
      <c r="B46" s="17" t="s">
        <v>181</v>
      </c>
      <c r="C46" s="17" t="s">
        <v>226</v>
      </c>
      <c r="D46" t="s">
        <v>272</v>
      </c>
      <c r="E46" s="19" t="s">
        <v>600</v>
      </c>
      <c r="F46" s="19"/>
    </row>
    <row r="47" spans="1:6" x14ac:dyDescent="0.25">
      <c r="A47" s="17">
        <v>49</v>
      </c>
      <c r="B47" s="17" t="s">
        <v>179</v>
      </c>
      <c r="C47" s="17" t="s">
        <v>226</v>
      </c>
      <c r="D47" t="s">
        <v>273</v>
      </c>
      <c r="E47" s="19" t="s">
        <v>601</v>
      </c>
      <c r="F47" s="19"/>
    </row>
    <row r="48" spans="1:6" x14ac:dyDescent="0.25">
      <c r="A48" s="17">
        <v>52</v>
      </c>
      <c r="B48" s="17" t="s">
        <v>182</v>
      </c>
      <c r="C48" s="17" t="s">
        <v>221</v>
      </c>
      <c r="D48" t="s">
        <v>274</v>
      </c>
      <c r="E48" s="19" t="s">
        <v>602</v>
      </c>
      <c r="F48" s="19"/>
    </row>
    <row r="49" spans="1:6" ht="24" x14ac:dyDescent="0.25">
      <c r="A49" s="17">
        <v>54</v>
      </c>
      <c r="B49" s="17" t="s">
        <v>183</v>
      </c>
      <c r="C49" s="17" t="s">
        <v>220</v>
      </c>
      <c r="D49" t="s">
        <v>275</v>
      </c>
      <c r="E49" s="19" t="s">
        <v>603</v>
      </c>
      <c r="F49" s="19"/>
    </row>
    <row r="50" spans="1:6" x14ac:dyDescent="0.25">
      <c r="A50" s="17">
        <v>55</v>
      </c>
      <c r="B50" s="17" t="s">
        <v>184</v>
      </c>
      <c r="C50" s="17" t="s">
        <v>221</v>
      </c>
      <c r="D50" t="s">
        <v>276</v>
      </c>
      <c r="E50" s="19" t="s">
        <v>604</v>
      </c>
      <c r="F50" s="19"/>
    </row>
    <row r="51" spans="1:6" x14ac:dyDescent="0.25">
      <c r="A51" s="17">
        <v>57</v>
      </c>
      <c r="B51" s="17" t="s">
        <v>141</v>
      </c>
      <c r="C51" s="17" t="s">
        <v>226</v>
      </c>
      <c r="D51" t="s">
        <v>277</v>
      </c>
      <c r="E51" s="19" t="s">
        <v>605</v>
      </c>
      <c r="F51" s="19"/>
    </row>
    <row r="52" spans="1:6" x14ac:dyDescent="0.25">
      <c r="A52" s="17">
        <v>60</v>
      </c>
      <c r="B52" s="17" t="s">
        <v>142</v>
      </c>
      <c r="C52" s="17" t="s">
        <v>226</v>
      </c>
      <c r="D52" t="s">
        <v>278</v>
      </c>
      <c r="E52" s="19" t="s">
        <v>606</v>
      </c>
      <c r="F52" s="19"/>
    </row>
    <row r="53" spans="1:6" x14ac:dyDescent="0.25">
      <c r="A53" s="17">
        <v>61</v>
      </c>
      <c r="B53" s="17" t="s">
        <v>185</v>
      </c>
      <c r="C53" s="17" t="s">
        <v>216</v>
      </c>
      <c r="D53" t="s">
        <v>279</v>
      </c>
      <c r="E53" s="19" t="s">
        <v>607</v>
      </c>
      <c r="F53" s="19"/>
    </row>
    <row r="54" spans="1:6" x14ac:dyDescent="0.25">
      <c r="A54" s="17">
        <v>62</v>
      </c>
      <c r="B54" s="17" t="s">
        <v>186</v>
      </c>
      <c r="C54" s="17" t="s">
        <v>216</v>
      </c>
      <c r="D54" t="s">
        <v>280</v>
      </c>
      <c r="E54" s="19" t="s">
        <v>608</v>
      </c>
      <c r="F54" s="19"/>
    </row>
    <row r="55" spans="1:6" x14ac:dyDescent="0.25">
      <c r="A55" s="17">
        <v>63</v>
      </c>
      <c r="B55" s="17" t="s">
        <v>187</v>
      </c>
      <c r="C55" s="17" t="s">
        <v>216</v>
      </c>
      <c r="D55" t="s">
        <v>281</v>
      </c>
      <c r="E55" s="19" t="s">
        <v>609</v>
      </c>
      <c r="F55" s="19"/>
    </row>
    <row r="56" spans="1:6" x14ac:dyDescent="0.25">
      <c r="A56" s="17">
        <v>64</v>
      </c>
      <c r="B56" s="17" t="s">
        <v>188</v>
      </c>
      <c r="C56" s="17" t="s">
        <v>224</v>
      </c>
      <c r="D56" t="s">
        <v>282</v>
      </c>
      <c r="E56" s="19" t="s">
        <v>610</v>
      </c>
      <c r="F56" s="19"/>
    </row>
    <row r="57" spans="1:6" x14ac:dyDescent="0.25">
      <c r="A57" s="17">
        <v>65</v>
      </c>
      <c r="B57" s="17" t="s">
        <v>143</v>
      </c>
      <c r="C57" s="17" t="s">
        <v>216</v>
      </c>
      <c r="D57" t="s">
        <v>283</v>
      </c>
      <c r="E57" s="19" t="s">
        <v>611</v>
      </c>
      <c r="F57" s="19"/>
    </row>
    <row r="58" spans="1:6" x14ac:dyDescent="0.25">
      <c r="A58" s="17">
        <v>67</v>
      </c>
      <c r="B58" s="17" t="s">
        <v>189</v>
      </c>
      <c r="C58" s="17" t="s">
        <v>221</v>
      </c>
      <c r="D58" t="s">
        <v>284</v>
      </c>
      <c r="E58" s="19" t="s">
        <v>612</v>
      </c>
      <c r="F58" s="19"/>
    </row>
    <row r="59" spans="1:6" x14ac:dyDescent="0.25">
      <c r="A59" s="17">
        <v>68</v>
      </c>
      <c r="B59" s="17" t="s">
        <v>190</v>
      </c>
      <c r="C59" s="17" t="s">
        <v>221</v>
      </c>
      <c r="D59" t="s">
        <v>285</v>
      </c>
      <c r="E59" s="19" t="s">
        <v>613</v>
      </c>
      <c r="F59" s="19"/>
    </row>
    <row r="60" spans="1:6" ht="24" x14ac:dyDescent="0.25">
      <c r="A60" s="17">
        <v>69</v>
      </c>
      <c r="B60" s="17" t="s">
        <v>191</v>
      </c>
      <c r="C60" s="17" t="s">
        <v>220</v>
      </c>
      <c r="D60" t="s">
        <v>286</v>
      </c>
      <c r="E60" s="19"/>
      <c r="F60" s="19" t="s">
        <v>629</v>
      </c>
    </row>
    <row r="61" spans="1:6" x14ac:dyDescent="0.25">
      <c r="A61" s="17">
        <v>30</v>
      </c>
      <c r="B61" s="17" t="s">
        <v>192</v>
      </c>
      <c r="C61" s="17" t="s">
        <v>213</v>
      </c>
      <c r="D61" t="s">
        <v>287</v>
      </c>
      <c r="E61" s="19" t="s">
        <v>614</v>
      </c>
      <c r="F61" s="19"/>
    </row>
    <row r="62" spans="1:6" x14ac:dyDescent="0.25">
      <c r="A62" s="17">
        <v>31</v>
      </c>
      <c r="B62" s="17" t="s">
        <v>193</v>
      </c>
      <c r="C62" s="17" t="s">
        <v>215</v>
      </c>
      <c r="D62" t="s">
        <v>288</v>
      </c>
      <c r="E62" s="19" t="s">
        <v>615</v>
      </c>
      <c r="F62" s="19"/>
    </row>
    <row r="63" spans="1:6" x14ac:dyDescent="0.25">
      <c r="A63" s="17">
        <v>33</v>
      </c>
      <c r="B63" s="17" t="s">
        <v>194</v>
      </c>
      <c r="C63" s="17" t="s">
        <v>224</v>
      </c>
      <c r="D63" t="s">
        <v>289</v>
      </c>
      <c r="E63" s="19" t="s">
        <v>616</v>
      </c>
      <c r="F63" s="19"/>
    </row>
    <row r="64" spans="1:6" ht="36" x14ac:dyDescent="0.25">
      <c r="A64" s="17">
        <v>34</v>
      </c>
      <c r="B64" s="17" t="s">
        <v>195</v>
      </c>
      <c r="C64" s="17" t="s">
        <v>218</v>
      </c>
      <c r="D64" t="s">
        <v>290</v>
      </c>
      <c r="E64" s="19" t="s">
        <v>617</v>
      </c>
      <c r="F64" s="19"/>
    </row>
    <row r="65" spans="1:8" x14ac:dyDescent="0.25">
      <c r="A65" s="17">
        <v>35</v>
      </c>
      <c r="B65" s="17" t="s">
        <v>196</v>
      </c>
      <c r="C65" s="17" t="s">
        <v>217</v>
      </c>
      <c r="D65" t="s">
        <v>291</v>
      </c>
      <c r="E65" s="19" t="s">
        <v>618</v>
      </c>
      <c r="F65" s="19"/>
    </row>
    <row r="66" spans="1:8" x14ac:dyDescent="0.25">
      <c r="A66" s="17">
        <v>36</v>
      </c>
      <c r="B66" s="17" t="s">
        <v>179</v>
      </c>
      <c r="C66" s="17" t="s">
        <v>226</v>
      </c>
      <c r="D66" t="s">
        <v>292</v>
      </c>
      <c r="E66" s="19" t="s">
        <v>619</v>
      </c>
      <c r="F66" s="19"/>
    </row>
    <row r="67" spans="1:8" ht="24" x14ac:dyDescent="0.25">
      <c r="A67" s="17">
        <v>37</v>
      </c>
      <c r="B67" s="17" t="s">
        <v>197</v>
      </c>
      <c r="C67" s="17" t="s">
        <v>220</v>
      </c>
      <c r="D67" t="s">
        <v>293</v>
      </c>
      <c r="E67" s="19" t="s">
        <v>620</v>
      </c>
      <c r="F67" s="19"/>
    </row>
    <row r="68" spans="1:8" x14ac:dyDescent="0.25">
      <c r="A68" s="17">
        <v>39</v>
      </c>
      <c r="B68" s="17" t="s">
        <v>198</v>
      </c>
      <c r="C68" s="17" t="s">
        <v>215</v>
      </c>
      <c r="D68" t="s">
        <v>294</v>
      </c>
      <c r="E68" s="19"/>
      <c r="F68" s="19" t="s">
        <v>630</v>
      </c>
    </row>
    <row r="69" spans="1:8" x14ac:dyDescent="0.25">
      <c r="A69" s="17">
        <v>41</v>
      </c>
      <c r="B69" s="17" t="s">
        <v>199</v>
      </c>
      <c r="C69" s="17" t="s">
        <v>221</v>
      </c>
      <c r="D69" t="s">
        <v>295</v>
      </c>
      <c r="E69" s="19" t="s">
        <v>621</v>
      </c>
      <c r="F69" s="19"/>
    </row>
    <row r="70" spans="1:8" ht="24" x14ac:dyDescent="0.25">
      <c r="A70" s="17">
        <v>40</v>
      </c>
      <c r="B70" s="17" t="s">
        <v>200</v>
      </c>
      <c r="C70" s="17" t="s">
        <v>212</v>
      </c>
      <c r="D70" t="s">
        <v>296</v>
      </c>
      <c r="E70" s="19" t="s">
        <v>622</v>
      </c>
      <c r="F70" s="19"/>
    </row>
    <row r="71" spans="1:8" x14ac:dyDescent="0.25">
      <c r="A71" s="16">
        <v>59</v>
      </c>
      <c r="B71" s="16" t="s">
        <v>201</v>
      </c>
      <c r="C71" s="17" t="s">
        <v>227</v>
      </c>
      <c r="D71" t="s">
        <v>297</v>
      </c>
      <c r="E71" s="19" t="s">
        <v>623</v>
      </c>
      <c r="F71" s="19"/>
    </row>
    <row r="78" spans="1:8" x14ac:dyDescent="0.25">
      <c r="A78" t="s">
        <v>202</v>
      </c>
      <c r="B78" t="s">
        <v>0</v>
      </c>
      <c r="C78" t="s">
        <v>210</v>
      </c>
      <c r="D78" t="s">
        <v>388</v>
      </c>
      <c r="E78" t="s">
        <v>383</v>
      </c>
      <c r="F78" t="s">
        <v>460</v>
      </c>
      <c r="G78" t="s">
        <v>476</v>
      </c>
      <c r="H78" t="s">
        <v>477</v>
      </c>
    </row>
    <row r="79" spans="1:8" x14ac:dyDescent="0.25">
      <c r="A79">
        <v>9</v>
      </c>
      <c r="B79" t="s">
        <v>425</v>
      </c>
      <c r="C79" t="s">
        <v>384</v>
      </c>
      <c r="D79" t="s">
        <v>407</v>
      </c>
      <c r="E79" t="s">
        <v>389</v>
      </c>
      <c r="F79" t="s">
        <v>554</v>
      </c>
    </row>
    <row r="80" spans="1:8" x14ac:dyDescent="0.25">
      <c r="A80">
        <v>5</v>
      </c>
      <c r="B80" t="s">
        <v>426</v>
      </c>
      <c r="C80" t="s">
        <v>106</v>
      </c>
      <c r="D80" t="s">
        <v>408</v>
      </c>
      <c r="E80" t="s">
        <v>390</v>
      </c>
      <c r="G80" t="s">
        <v>546</v>
      </c>
      <c r="H80" t="s">
        <v>538</v>
      </c>
    </row>
    <row r="81" spans="1:8" x14ac:dyDescent="0.25">
      <c r="A81">
        <v>8</v>
      </c>
      <c r="B81" t="s">
        <v>301</v>
      </c>
      <c r="C81" t="s">
        <v>384</v>
      </c>
      <c r="D81" t="s">
        <v>409</v>
      </c>
      <c r="E81" t="s">
        <v>391</v>
      </c>
      <c r="F81" t="s">
        <v>555</v>
      </c>
    </row>
    <row r="82" spans="1:8" x14ac:dyDescent="0.25">
      <c r="A82">
        <v>1</v>
      </c>
      <c r="B82" t="s">
        <v>427</v>
      </c>
      <c r="C82" t="s">
        <v>100</v>
      </c>
      <c r="D82" t="s">
        <v>410</v>
      </c>
      <c r="E82" t="s">
        <v>392</v>
      </c>
      <c r="G82" t="s">
        <v>547</v>
      </c>
      <c r="H82" t="s">
        <v>539</v>
      </c>
    </row>
    <row r="83" spans="1:8" x14ac:dyDescent="0.25">
      <c r="A83">
        <v>2</v>
      </c>
      <c r="B83" t="s">
        <v>303</v>
      </c>
      <c r="C83" t="s">
        <v>91</v>
      </c>
      <c r="D83" t="s">
        <v>411</v>
      </c>
      <c r="E83" t="s">
        <v>393</v>
      </c>
      <c r="F83" t="s">
        <v>556</v>
      </c>
    </row>
    <row r="84" spans="1:8" x14ac:dyDescent="0.25">
      <c r="A84">
        <v>3</v>
      </c>
      <c r="B84" t="s">
        <v>321</v>
      </c>
      <c r="C84" t="s">
        <v>102</v>
      </c>
      <c r="D84" t="s">
        <v>412</v>
      </c>
      <c r="E84" t="s">
        <v>394</v>
      </c>
      <c r="G84" t="s">
        <v>531</v>
      </c>
      <c r="H84" t="s">
        <v>502</v>
      </c>
    </row>
    <row r="85" spans="1:8" x14ac:dyDescent="0.25">
      <c r="A85">
        <v>4</v>
      </c>
      <c r="B85" t="s">
        <v>428</v>
      </c>
      <c r="C85" t="s">
        <v>99</v>
      </c>
      <c r="D85" t="s">
        <v>413</v>
      </c>
      <c r="E85" t="s">
        <v>395</v>
      </c>
      <c r="G85" t="s">
        <v>532</v>
      </c>
      <c r="H85" t="s">
        <v>503</v>
      </c>
    </row>
    <row r="86" spans="1:8" x14ac:dyDescent="0.25">
      <c r="A86">
        <v>6</v>
      </c>
      <c r="B86" t="s">
        <v>429</v>
      </c>
      <c r="C86" t="s">
        <v>385</v>
      </c>
      <c r="D86" t="s">
        <v>414</v>
      </c>
      <c r="E86" t="s">
        <v>396</v>
      </c>
      <c r="G86" t="s">
        <v>548</v>
      </c>
      <c r="H86" t="s">
        <v>540</v>
      </c>
    </row>
    <row r="87" spans="1:8" x14ac:dyDescent="0.25">
      <c r="A87">
        <v>7</v>
      </c>
      <c r="B87" t="s">
        <v>302</v>
      </c>
      <c r="C87" t="s">
        <v>97</v>
      </c>
      <c r="D87" t="s">
        <v>415</v>
      </c>
      <c r="E87" t="s">
        <v>397</v>
      </c>
      <c r="G87" t="s">
        <v>549</v>
      </c>
      <c r="H87" t="s">
        <v>541</v>
      </c>
    </row>
    <row r="88" spans="1:8" x14ac:dyDescent="0.25">
      <c r="A88">
        <v>10</v>
      </c>
      <c r="B88" t="s">
        <v>430</v>
      </c>
      <c r="C88" t="s">
        <v>96</v>
      </c>
      <c r="D88" t="s">
        <v>416</v>
      </c>
      <c r="E88" t="s">
        <v>398</v>
      </c>
      <c r="G88" t="s">
        <v>550</v>
      </c>
      <c r="H88" t="s">
        <v>542</v>
      </c>
    </row>
    <row r="89" spans="1:8" x14ac:dyDescent="0.25">
      <c r="A89">
        <v>11</v>
      </c>
      <c r="B89" t="s">
        <v>302</v>
      </c>
      <c r="C89" t="s">
        <v>386</v>
      </c>
      <c r="D89" t="s">
        <v>417</v>
      </c>
      <c r="E89" t="s">
        <v>399</v>
      </c>
      <c r="F89" t="s">
        <v>557</v>
      </c>
    </row>
    <row r="90" spans="1:8" x14ac:dyDescent="0.25">
      <c r="A90">
        <v>12</v>
      </c>
      <c r="B90" t="s">
        <v>431</v>
      </c>
      <c r="C90" t="s">
        <v>96</v>
      </c>
      <c r="D90" t="s">
        <v>418</v>
      </c>
      <c r="E90" t="s">
        <v>400</v>
      </c>
      <c r="G90" t="s">
        <v>551</v>
      </c>
      <c r="H90" t="s">
        <v>543</v>
      </c>
    </row>
    <row r="91" spans="1:8" x14ac:dyDescent="0.25">
      <c r="A91">
        <v>13</v>
      </c>
      <c r="B91" t="s">
        <v>306</v>
      </c>
      <c r="C91" t="s">
        <v>96</v>
      </c>
      <c r="D91" t="s">
        <v>419</v>
      </c>
      <c r="E91" t="s">
        <v>401</v>
      </c>
      <c r="G91" t="s">
        <v>510</v>
      </c>
      <c r="H91" t="s">
        <v>481</v>
      </c>
    </row>
    <row r="92" spans="1:8" x14ac:dyDescent="0.25">
      <c r="A92">
        <v>14</v>
      </c>
      <c r="B92" t="s">
        <v>324</v>
      </c>
      <c r="C92" t="s">
        <v>126</v>
      </c>
      <c r="D92" t="s">
        <v>420</v>
      </c>
      <c r="E92" t="s">
        <v>402</v>
      </c>
      <c r="F92" t="s">
        <v>558</v>
      </c>
    </row>
    <row r="93" spans="1:8" x14ac:dyDescent="0.25">
      <c r="A93">
        <v>15</v>
      </c>
      <c r="B93" t="s">
        <v>26</v>
      </c>
      <c r="C93" t="s">
        <v>100</v>
      </c>
      <c r="D93" t="s">
        <v>421</v>
      </c>
      <c r="E93" t="s">
        <v>403</v>
      </c>
      <c r="G93" t="s">
        <v>507</v>
      </c>
      <c r="H93" t="s">
        <v>478</v>
      </c>
    </row>
    <row r="94" spans="1:8" x14ac:dyDescent="0.25">
      <c r="A94">
        <v>16</v>
      </c>
      <c r="B94" t="s">
        <v>432</v>
      </c>
      <c r="C94" t="s">
        <v>387</v>
      </c>
      <c r="D94" t="s">
        <v>422</v>
      </c>
      <c r="E94" t="s">
        <v>404</v>
      </c>
      <c r="G94" t="s">
        <v>552</v>
      </c>
      <c r="H94" t="s">
        <v>544</v>
      </c>
    </row>
    <row r="95" spans="1:8" x14ac:dyDescent="0.25">
      <c r="A95">
        <v>17</v>
      </c>
      <c r="B95" t="s">
        <v>299</v>
      </c>
      <c r="C95" t="s">
        <v>387</v>
      </c>
      <c r="D95" t="s">
        <v>423</v>
      </c>
      <c r="E95" t="s">
        <v>405</v>
      </c>
      <c r="F95" t="s">
        <v>559</v>
      </c>
    </row>
    <row r="96" spans="1:8" x14ac:dyDescent="0.25">
      <c r="A96">
        <v>18</v>
      </c>
      <c r="B96" t="s">
        <v>299</v>
      </c>
      <c r="C96" t="s">
        <v>387</v>
      </c>
      <c r="D96" t="s">
        <v>424</v>
      </c>
      <c r="E96" t="s">
        <v>406</v>
      </c>
      <c r="G96" t="s">
        <v>553</v>
      </c>
      <c r="H96" t="s">
        <v>545</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319408a-1f95-4dc3-89d0-23a82658f57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33C82D133372A41B0FE0A825D4BF8C0" ma:contentTypeVersion="16" ma:contentTypeDescription="Create a new document." ma:contentTypeScope="" ma:versionID="6ec0842fbe854df5620cf221bba21385">
  <xsd:schema xmlns:xsd="http://www.w3.org/2001/XMLSchema" xmlns:xs="http://www.w3.org/2001/XMLSchema" xmlns:p="http://schemas.microsoft.com/office/2006/metadata/properties" xmlns:ns3="d319408a-1f95-4dc3-89d0-23a82658f579" xmlns:ns4="e0507e99-a975-4602-acc8-21d959581e41" targetNamespace="http://schemas.microsoft.com/office/2006/metadata/properties" ma:root="true" ma:fieldsID="9e64878c68912396a6d4479602e3df2d" ns3:_="" ns4:_="">
    <xsd:import namespace="d319408a-1f95-4dc3-89d0-23a82658f579"/>
    <xsd:import namespace="e0507e99-a975-4602-acc8-21d959581e4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9408a-1f95-4dc3-89d0-23a82658f5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507e99-a975-4602-acc8-21d959581e41"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847BA6-492A-438D-9646-495220BC202F}">
  <ds:schemaRefs>
    <ds:schemaRef ds:uri="http://purl.org/dc/dcmitype/"/>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d319408a-1f95-4dc3-89d0-23a82658f579"/>
    <ds:schemaRef ds:uri="http://schemas.microsoft.com/office/infopath/2007/PartnerControls"/>
    <ds:schemaRef ds:uri="http://schemas.openxmlformats.org/package/2006/metadata/core-properties"/>
    <ds:schemaRef ds:uri="e0507e99-a975-4602-acc8-21d959581e41"/>
  </ds:schemaRefs>
</ds:datastoreItem>
</file>

<file path=customXml/itemProps2.xml><?xml version="1.0" encoding="utf-8"?>
<ds:datastoreItem xmlns:ds="http://schemas.openxmlformats.org/officeDocument/2006/customXml" ds:itemID="{D2588CDC-DCE4-438A-9075-74A41C74FCF9}">
  <ds:schemaRefs>
    <ds:schemaRef ds:uri="http://schemas.microsoft.com/sharepoint/v3/contenttype/forms"/>
  </ds:schemaRefs>
</ds:datastoreItem>
</file>

<file path=customXml/itemProps3.xml><?xml version="1.0" encoding="utf-8"?>
<ds:datastoreItem xmlns:ds="http://schemas.openxmlformats.org/officeDocument/2006/customXml" ds:itemID="{CDB3E602-3550-4FF1-BDB1-98E56A120E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19408a-1f95-4dc3-89d0-23a82658f579"/>
    <ds:schemaRef ds:uri="e0507e99-a975-4602-acc8-21d959581e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Fed Match</vt:lpstr>
      <vt:lpstr>Report Tables</vt:lpstr>
      <vt:lpstr>Tables_cleaned</vt:lpstr>
      <vt:lpstr>Sheet1</vt:lpstr>
      <vt:lpstr>Sheet3</vt:lpstr>
      <vt:lpstr>lookup_table_NWMG</vt:lpstr>
      <vt:lpstr>lookup_table_DOG</vt:lpstr>
      <vt:lpstr>lookup_table_HSP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Anthony</dc:creator>
  <cp:lastModifiedBy>Anthony Colin</cp:lastModifiedBy>
  <dcterms:created xsi:type="dcterms:W3CDTF">2025-06-11T21:32:41Z</dcterms:created>
  <dcterms:modified xsi:type="dcterms:W3CDTF">2025-07-29T20:26:35Z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0x010100433C82D133372A41B0FE0A825D4BF8C0</vt:lpwstr>
  </property>
</Properties>
</file>