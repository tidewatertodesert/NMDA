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burruss\Documents\GitHub\NMDA\LOE_project_maps\data\"/>
    </mc:Choice>
  </mc:AlternateContent>
  <xr:revisionPtr revIDLastSave="0" documentId="13_ncr:1_{3ADE929A-03EC-4205-8A5F-1FF003F4CBFE}" xr6:coauthVersionLast="47" xr6:coauthVersionMax="47" xr10:uidLastSave="{00000000-0000-0000-0000-000000000000}"/>
  <bookViews>
    <workbookView xWindow="-120" yWindow="-120" windowWidth="29040" windowHeight="15720" xr2:uid="{A7760EBE-A2D7-4332-9006-87A0154A8FBF}"/>
  </bookViews>
  <sheets>
    <sheet name="FY26_ALL" sheetId="1" r:id="rId1"/>
    <sheet name="NWMG_Lookup" sheetId="6" r:id="rId2"/>
    <sheet name="DOG_Lookup" sheetId="5" r:id="rId3"/>
    <sheet name="HSPIA_lookup" sheetId="3" r:id="rId4"/>
    <sheet name="HSPEE_lookup" sheetId="4" r:id="rId5"/>
  </sheets>
  <definedNames>
    <definedName name="_xlnm._FilterDatabase" localSheetId="0" hidden="1">FY26_ALL!$A$1:$M$96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J3" i="4"/>
  <c r="J4" i="4"/>
  <c r="J5" i="4"/>
  <c r="J6" i="4"/>
  <c r="J7" i="4"/>
  <c r="J8" i="4"/>
  <c r="J9" i="4"/>
  <c r="J10" i="4"/>
  <c r="J11" i="4"/>
  <c r="J12" i="4"/>
  <c r="J13" i="4"/>
  <c r="J14" i="4"/>
  <c r="J15" i="4"/>
  <c r="J16" i="4"/>
  <c r="J17" i="4"/>
  <c r="J18" i="4"/>
  <c r="J19" i="4"/>
  <c r="J20" i="4"/>
  <c r="J21" i="4"/>
  <c r="J22" i="4"/>
  <c r="J23" i="4"/>
  <c r="J24" i="4"/>
  <c r="I4"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alcChain>
</file>

<file path=xl/sharedStrings.xml><?xml version="1.0" encoding="utf-8"?>
<sst xmlns="http://schemas.openxmlformats.org/spreadsheetml/2006/main" count="2486" uniqueCount="1247">
  <si>
    <t>ID</t>
  </si>
  <si>
    <t>Grant</t>
  </si>
  <si>
    <t>Entity</t>
  </si>
  <si>
    <t>Funding</t>
  </si>
  <si>
    <t>Title</t>
  </si>
  <si>
    <t>Ent_Type</t>
  </si>
  <si>
    <t>County</t>
  </si>
  <si>
    <t>Summary</t>
  </si>
  <si>
    <t>Address</t>
  </si>
  <si>
    <t>address_mix</t>
  </si>
  <si>
    <t>lat</t>
  </si>
  <si>
    <t>long</t>
  </si>
  <si>
    <t>Santa Fe-Pojoaque SWCD</t>
  </si>
  <si>
    <t>SW Quay SWCD</t>
  </si>
  <si>
    <t>Guadalupe SWCD</t>
  </si>
  <si>
    <t>Central Curry SWCD</t>
  </si>
  <si>
    <t>Roosevelt SWCD</t>
  </si>
  <si>
    <t>Santa Fe County Extension Service</t>
  </si>
  <si>
    <t>Chaves SWCD</t>
  </si>
  <si>
    <t>Pueblo de Cochiti</t>
  </si>
  <si>
    <t>Ramah Navajo</t>
  </si>
  <si>
    <t>East Rio Arriba SWCD</t>
  </si>
  <si>
    <t>Taos SWCD</t>
  </si>
  <si>
    <t>Najavo Ag. Products Industry</t>
  </si>
  <si>
    <t>Dona Ana SWCD</t>
  </si>
  <si>
    <t>NMSU Cooperative Extension Service</t>
  </si>
  <si>
    <t>Healthy Soil Program Eligible Entities</t>
  </si>
  <si>
    <t>Alfred Baca</t>
  </si>
  <si>
    <t>Leland Maez</t>
  </si>
  <si>
    <t>Rick Wilson</t>
  </si>
  <si>
    <t>Nicholas Cohon</t>
  </si>
  <si>
    <t>Douglas Oberwortmann</t>
  </si>
  <si>
    <t>Jeff Hood</t>
  </si>
  <si>
    <t>Astrid Mooney</t>
  </si>
  <si>
    <t>Bob Haggerty</t>
  </si>
  <si>
    <t>Adam Lopez</t>
  </si>
  <si>
    <t>Herman Lopez</t>
  </si>
  <si>
    <t>Nina Listro</t>
  </si>
  <si>
    <t>Douglas Patterson</t>
  </si>
  <si>
    <t>Lillian Gonzales</t>
  </si>
  <si>
    <t>Jacob Lopez</t>
  </si>
  <si>
    <t>Gina Vanlandingham</t>
  </si>
  <si>
    <t>Albert Lopez</t>
  </si>
  <si>
    <t>Manuel Lopez</t>
  </si>
  <si>
    <t>David Sundberg</t>
  </si>
  <si>
    <t>Joseph Nicholas Padilla</t>
  </si>
  <si>
    <t>Sarah Pierpont</t>
  </si>
  <si>
    <t>Courtney McCary-Squyres</t>
  </si>
  <si>
    <t>Jonathan Hupp</t>
  </si>
  <si>
    <t>Melissa Marie Lopez-Sullivan</t>
  </si>
  <si>
    <t>Hendrix Johnston</t>
  </si>
  <si>
    <t>Robin Waugaman</t>
  </si>
  <si>
    <t>Daniel Stahl</t>
  </si>
  <si>
    <t>John Neely</t>
  </si>
  <si>
    <t>Cynthia Romero</t>
  </si>
  <si>
    <t>Cecilia Baca</t>
  </si>
  <si>
    <t>Jamie Welles</t>
  </si>
  <si>
    <t>Samantha Hilborn-Naluai</t>
  </si>
  <si>
    <t>Maggie Knapp</t>
  </si>
  <si>
    <t>Daniel Hutchison</t>
  </si>
  <si>
    <t>The Semilla Project - Aaron Lee</t>
  </si>
  <si>
    <t>August Young</t>
  </si>
  <si>
    <t>Eric Chrisp</t>
  </si>
  <si>
    <t>Improving Soil Structure and Water Retention with Cattle</t>
  </si>
  <si>
    <t>The HQ Farms Field of Dreams</t>
  </si>
  <si>
    <t>Wildlife refuge at Saltbush Flats</t>
  </si>
  <si>
    <t>Holly Hawk Farm</t>
  </si>
  <si>
    <t>Rancho da Kissila Healthy Soil Initiative</t>
  </si>
  <si>
    <t>Recover 1.5 acres of orchard and pasture</t>
  </si>
  <si>
    <t>Healthy Soil on Socorro Farm - Rooting out the Weeds</t>
  </si>
  <si>
    <t xml:space="preserve">Orchard Soil Improvement FY26 </t>
  </si>
  <si>
    <t xml:space="preserve">Adam Lopez compost </t>
  </si>
  <si>
    <t xml:space="preserve">Herman Lopez compost </t>
  </si>
  <si>
    <t>Building Biodiversity and Wind Resilience for Healthy Desert Soils</t>
  </si>
  <si>
    <t>La Isla Cropland Development</t>
  </si>
  <si>
    <t>Blue Haven</t>
  </si>
  <si>
    <t xml:space="preserve">Jacob Lopez compost </t>
  </si>
  <si>
    <t>Bale/Intensive Grazing</t>
  </si>
  <si>
    <t xml:space="preserve">Albert Lopez compost </t>
  </si>
  <si>
    <t xml:space="preserve">Manuel Lopez compost </t>
  </si>
  <si>
    <t>Improving soil health for future production space and habitat restoration</t>
  </si>
  <si>
    <t>Regenerating Desertified Agricultural Land for Pollinators and Traditional Food Crops</t>
  </si>
  <si>
    <t>Reclaiming Industrial Land &amp; Providing Demonstration Project for Healthy Soils</t>
  </si>
  <si>
    <t xml:space="preserve">The With Many Hands Cultivating Community Urban Farm </t>
  </si>
  <si>
    <t xml:space="preserve">Goat Tree Orchard </t>
  </si>
  <si>
    <t>Deep Roots, Healthy Soil: Lopez Legacy</t>
  </si>
  <si>
    <t>Compost mulch no till cropping system for sandy depleted soils.</t>
  </si>
  <si>
    <t>Regeneration of Sage-Dominated Rangeland with Donkeys and Horses</t>
  </si>
  <si>
    <t>All Flourishing is Mutual</t>
  </si>
  <si>
    <t>55 Ranch  Grazing Management Plan</t>
  </si>
  <si>
    <t>Rowan &amp; Wren Flowers</t>
  </si>
  <si>
    <t>The Year of Amendments and Cover Crops</t>
  </si>
  <si>
    <t>Welles Lane Soil Health Improvement Plan 2026</t>
  </si>
  <si>
    <t>Restoring Soil Health on a Small-Scale</t>
  </si>
  <si>
    <t>Enhancing soil health on the A La Veggie Collective Farm</t>
  </si>
  <si>
    <t>Soil Life Resiliency</t>
  </si>
  <si>
    <t>Loma Linda Community Garden</t>
  </si>
  <si>
    <t xml:space="preserve">A La Madre Farms Healthy Soils Project </t>
  </si>
  <si>
    <t xml:space="preserve">Chrisp Farm Rotational Grazing Paddock System </t>
  </si>
  <si>
    <t>Gateway to Soil Health in Santa Fe County</t>
  </si>
  <si>
    <t>Rangeland Enhancement Program</t>
  </si>
  <si>
    <t>Guadalupe SWCD Seed and Soil Program</t>
  </si>
  <si>
    <t xml:space="preserve">Restoring Soil Health to Roosevelt County </t>
  </si>
  <si>
    <t xml:space="preserve">Land Reclamation and Native Grass Establishment Demonstration </t>
  </si>
  <si>
    <t>Chaves SWCD Cover Crop Initiative</t>
  </si>
  <si>
    <t>Guadalupe SWCD Virtual Fencing Pilot Project</t>
  </si>
  <si>
    <t>Incorporating Livestock Grazing, Cover Crops and Soil Health &amp; Nutrient</t>
  </si>
  <si>
    <t>Ramah Navajo Chapter: Bond Ranch Grazing and Soil Health Initiative</t>
  </si>
  <si>
    <t>The East Rio Arriba Seed and Fertilizer Cost-Share Program</t>
  </si>
  <si>
    <t>Enhancing Taos County Vegetation Through Cover Cropping and Bale Grazing</t>
  </si>
  <si>
    <t xml:space="preserve">Protecting NAPI Farmland </t>
  </si>
  <si>
    <t>Rural Dona Ana County CoverCrop</t>
  </si>
  <si>
    <t>Healthy Soil Program Individual Applicants</t>
  </si>
  <si>
    <t>Title (FY26 Healthy Soil Program grants for Individual Applicants)</t>
  </si>
  <si>
    <t>Who will be financially responsible for this project, purchasing approved budget items in order to carry out approved project activities?  (FY26 Healthy Soil Program grants for Individual Applicants)</t>
  </si>
  <si>
    <t>Who primarily completed this online application?  (FY26 Healthy Soil Program grants for Individual Applicants)</t>
  </si>
  <si>
    <t>Legal name of primary contact / project lead: First Name (FY26 Healthy Soil Program grants for Individual Applicants)</t>
  </si>
  <si>
    <t>Legal name of primary contact / project lead: Last Name (FY26 Healthy Soil Program grants for Individual Applicants)</t>
  </si>
  <si>
    <t>In which New Mexico county is the project site located? (FY26 Healthy Soil Program grants for Individual Applicants)</t>
  </si>
  <si>
    <t>Does the project site have a physical address or coordinates?  (FY26 Healthy Soil Program grants for Individual Applicants)</t>
  </si>
  <si>
    <t>What is the physical address of the project site? (FY26 Healthy Soil Program grants for Individual Applicants)</t>
  </si>
  <si>
    <t>What are the latitude and longitude coordinates for the project site? (FY26 Healthy Soil Program grants for Individual Applicants)</t>
  </si>
  <si>
    <t>Project Title (FY26 Healthy Soil Program grants for Individual Applicants)</t>
  </si>
  <si>
    <t>Provide your project summary below. (FY26 Healthy Soil Program grants for Individual Applicants)</t>
  </si>
  <si>
    <t>How should NMDA refer to you in the promotional materials described above? (FY26 Healthy Soil Program grants for Individual Applicants)</t>
  </si>
  <si>
    <t>Marcos Torres</t>
  </si>
  <si>
    <t>Marcos</t>
  </si>
  <si>
    <t>Torres</t>
  </si>
  <si>
    <t>Physical Address</t>
  </si>
  <si>
    <t>4567 San Ysidro Rd., Las Cruces, NM 88007</t>
  </si>
  <si>
    <t>GTorres San Ysidro</t>
  </si>
  <si>
    <t>.38 acre located on EBID irrigated cropland. Soil concerns consist of ponding, infiltration and penetration resistance/compaction and low biological diversity. Soil amendment with biochar, light covering with woodchips, pollinator seeding with added irrigation intended to maximize the biological diversity.</t>
  </si>
  <si>
    <t>Shahab Nourbakhsh</t>
  </si>
  <si>
    <t>Seyed Shahabeddin</t>
  </si>
  <si>
    <t>Nourbakhsh</t>
  </si>
  <si>
    <t>1809 El Paseo Rd, Las Cruces, NM. 88001</t>
  </si>
  <si>
    <t>Sustainable Soil Health for Urban Community Garden Resilience</t>
  </si>
  <si>
    <t>Zamin Greens will implement a 1-acre community garden project to address soil erosion, reduced organic matter, and inefficient irrigation. Practices include cover cropping, microirrigation, no-till management, wildlife habitat planting, and plant protection structures to enhance soil health, increase biodiversity, reduce erosion , improve water efficiency, aligning with NRCS conservation goals.</t>
  </si>
  <si>
    <t>Zamin Greens LLC</t>
  </si>
  <si>
    <t>Emmanuel Lescombes</t>
  </si>
  <si>
    <t>Christine Ortiz</t>
  </si>
  <si>
    <t>Christine</t>
  </si>
  <si>
    <t>Ortiz</t>
  </si>
  <si>
    <t>229 Highway 113, Lordsburg NM 88045</t>
  </si>
  <si>
    <t>Lescombes Family Vineyard Cover Crop Comparison Study</t>
  </si>
  <si>
    <t>Lescombes will continue the comparison study of a mixture of healthy soil cover crop mixture with daikon radish and/or sesame, adding mulch and soil nutrients in order to see increased results of those amendments on water retention, biodiversity, and living roots, and reduced nematodes in the soil and root knots.</t>
  </si>
  <si>
    <t>Lescombes Family Vineyards</t>
  </si>
  <si>
    <t>Cynthia McGuinn</t>
  </si>
  <si>
    <t>Cynthia</t>
  </si>
  <si>
    <t>McGuinn</t>
  </si>
  <si>
    <t>1034 Lopez Rd. SW Albuquerque, NM 87105</t>
  </si>
  <si>
    <t>Momma Dukes Dill Pickle Farm</t>
  </si>
  <si>
    <t>1/2 acre of crop land that has had poor crop  growth, bare ground spots with pooling water when it rains or is irrigated. Nutrient deficiency in crops. over compacted, has poor soil structure, low soil organic matter and very poor  water infiltration and percolation.</t>
  </si>
  <si>
    <t>Project manager</t>
  </si>
  <si>
    <t>Les Storhaug</t>
  </si>
  <si>
    <t>Leslie</t>
  </si>
  <si>
    <t>Storhaug</t>
  </si>
  <si>
    <t>6 County Line Rd. Edgewood, NM 87015</t>
  </si>
  <si>
    <t>6 County Line Rd. Healthy Soil Project 2026</t>
  </si>
  <si>
    <t>2.5 acres  Cropland Keeping soil covered Minimizing soil disturbance on cropland and minimizing external inputs Maximizing biodiversity, Maintaining a living root Integrating animals into land management, including grazing animals, birds, beneficial insects or keystone  species, such as earthworms. Minimum disturbance of soil by utilizing No-Till process Underground sprinkler system</t>
  </si>
  <si>
    <t>Les Storhaug Farm in Santa Fe county</t>
  </si>
  <si>
    <t>Snow Watson</t>
  </si>
  <si>
    <t>Snow</t>
  </si>
  <si>
    <t>Watson</t>
  </si>
  <si>
    <t>630 New Mexico Highway 165, Placitas, New Mexico 87043</t>
  </si>
  <si>
    <t>Improving Biodiversity on Dotty Tree Farm</t>
  </si>
  <si>
    <t>To increase biodiversity on our 8.5 acre farm. On the cropland, a mix of tasks including, importing specially designed soil mix, order and inject deep burrowing Anecic worms, expand the Verma-Composting worm tower, add bee hive (pollinator) colonies, plant a winter cover crop and mulching. Move around chicken tractor.</t>
  </si>
  <si>
    <t>Dotty Tree Farm</t>
  </si>
  <si>
    <t>Abdullah Chudnoff</t>
  </si>
  <si>
    <t>Abdullah</t>
  </si>
  <si>
    <t>Chudnoff</t>
  </si>
  <si>
    <t>Cr 155 dr1621 house 5</t>
  </si>
  <si>
    <t>Red Bee Farm 2025</t>
  </si>
  <si>
    <t>amount of land: Project area is approximately 1 acre land type: cropland soil health-related resource concerns it will address: Soil compaction, lack of organic matter, poor water infiltration. agricultural/conservation practices: integration of soil organic matter (manure compost), keeping soil covered (cover crop blend).</t>
  </si>
  <si>
    <t>Abdullah Chudnoff of Red Bee Farm</t>
  </si>
  <si>
    <t>Kate Mullen</t>
  </si>
  <si>
    <t>Katharine</t>
  </si>
  <si>
    <t>Mullen</t>
  </si>
  <si>
    <t>36 Two Gorges Rd Arroyo Hondo, NM 87513</t>
  </si>
  <si>
    <t>Building Resilient Soils &amp; Pollinator Habitats Through Sustainable Farming Practices</t>
  </si>
  <si>
    <t>Persimmon Moon Farm’s project will restore 3.5 acres of cropland in Arroyo Hondo, NM, using no-till organic methods, cover crops, biochar, and worm castings to improve soil health. Rainwater harvesting will enhance water retention, reducing erosion and compaction. These efforts support pollinators, increase biodiversity, and promote long-term soil regeneration.</t>
  </si>
  <si>
    <t>Persimmon Moon Farm</t>
  </si>
  <si>
    <t>4555 San Ysidro Road, Las Cruces, NM 88007</t>
  </si>
  <si>
    <t>Kirkpatrick San Ysidro</t>
  </si>
  <si>
    <t>.4 acre located on EBID irrigated cropland. Soil concerns consist of ponding, infiltration and penetration resistance/compaction and low biological diversity. Soil amendment with biochar, light covering with woodchips, pollinator seeding with added irrigation intended to maximize the biological diversity.</t>
  </si>
  <si>
    <t>Marcos Torres, Project Manager</t>
  </si>
  <si>
    <t>Carlos D. Arguello</t>
  </si>
  <si>
    <t>Carlos D.</t>
  </si>
  <si>
    <t>Arguello</t>
  </si>
  <si>
    <t>302 Este Es Plc Taos, NM 87571</t>
  </si>
  <si>
    <t>El Tros Farm 2026 Soil Health Development Project</t>
  </si>
  <si>
    <t>The Soil Health Development Project will utilize 5.2 acres of El Tros Farm to address soil compaction, organic matter depletion, plant health and crop productivity, alleviate pressure from area pests (prairie dogs), and balance feed and forage through rotational grazing, cover crops, and wood mulch.</t>
  </si>
  <si>
    <t>Mario Suazo</t>
  </si>
  <si>
    <t>Mario</t>
  </si>
  <si>
    <t>Suazo</t>
  </si>
  <si>
    <t>616 Upper Ranchitos Rd, Taos, NM 87571</t>
  </si>
  <si>
    <t>Soil Restoration and Plant Diversity Project</t>
  </si>
  <si>
    <t>The purpose of this project is to remediate 10 acres of crop land in an effort to increase plant diversity, reduce and/or eliminate invasive weed reproduction, improve water infiltration, and storage as well as fostering an increase in plant biodiversity resulting in sustainable pasture crops.</t>
  </si>
  <si>
    <t>Romero</t>
  </si>
  <si>
    <t>9721 N Guadalupe Trail NW Albuquerque, NM 87114</t>
  </si>
  <si>
    <t>The Project area is a 1 acre farm on cropland. Soil health related resource concerns being addressed are: soil compaction, erosion (wind), poor soil structure, lack of biodiversity, and low soil organic matter. To address these concerns I am implementing the following practices: Cover cropping, mulching, and compost application.</t>
  </si>
  <si>
    <t>Gray Mercer</t>
  </si>
  <si>
    <t>Gray</t>
  </si>
  <si>
    <t>Mercer</t>
  </si>
  <si>
    <t>49 Reynolds Road, El Prado, NM 87529</t>
  </si>
  <si>
    <t>Gray Mercer FY2026 HSP</t>
  </si>
  <si>
    <t>8 acres of cropland. Project will increase keeping soils covered with organic materials, minimize soil disturbance and minimize external inputs, maximize biodiversity, maintain a living root, integrate animals into land management, including insects, birds, and earthworms. Will implement agricultural/conservation practices of mowing, drill seeding, weeding by hand, distributing irrigation waters.</t>
  </si>
  <si>
    <t>Scott Sutton</t>
  </si>
  <si>
    <t>Scott</t>
  </si>
  <si>
    <t>Sutton</t>
  </si>
  <si>
    <t>Coordinates</t>
  </si>
  <si>
    <t>Latitude : 36.77481  | Longitude : - 105.65413</t>
  </si>
  <si>
    <t>Fallow rangeland ecological restoration using keyline design, no-till seeding, mulching</t>
  </si>
  <si>
    <t>To restore the health of the soil and a biodiverse prairie with keyline design techniques, developing swales on contour, no-till seeding, cover cropping, and mulching.  The cleared areas of sagebrush will be seeded with native grasses, annuals, and perennials while the remaining areas of undisturbed sagebrush will provide wildlife habitat.</t>
  </si>
  <si>
    <t>Manuel</t>
  </si>
  <si>
    <t>Lopez</t>
  </si>
  <si>
    <t>35.1927057, -1035731001</t>
  </si>
  <si>
    <t>Manuel Lopez compost</t>
  </si>
  <si>
    <t>160 acres cropland  compost will add organic matter nitrogen pottasium and phosphorus  main crop corn with a triticale cover crop</t>
  </si>
  <si>
    <t>Enrique Romero</t>
  </si>
  <si>
    <t>Enrique</t>
  </si>
  <si>
    <t>44 Llano de la Llegua (or Yegua) Road Vadito, NM 87579</t>
  </si>
  <si>
    <t>Conserving Soil and Water on Acequia-Served Land</t>
  </si>
  <si>
    <t>The key soil and water conservation practices that will implemented on five acres of acequia-served land include key line plowing to prevent further erosion and cover cropping for nutrient and organic inputs.  The primary land type is cropland currently used to grow timothy and clover hay for local livestock consumption.</t>
  </si>
  <si>
    <t>Mountain Rose Farm and Ranch</t>
  </si>
  <si>
    <t>Shahid Mustafa</t>
  </si>
  <si>
    <t>Abdul Shahid</t>
  </si>
  <si>
    <t>Mustafa</t>
  </si>
  <si>
    <t>930 Lopez Rd Las Cruces, NM 88011</t>
  </si>
  <si>
    <t>The Lopez Legacy Family Farm project will restore four acres of cropland, including a pecan orchard and fallow land, by addressing soil erosion, low organic matter, and water inefficiency. Using drip irrigation, compost, cover crops, and hedgerows, this initiative enhances soil health, biodiversity, and climate resilience through regenerative agricultural practices.</t>
  </si>
  <si>
    <t>Lopez Legacy Family Farm</t>
  </si>
  <si>
    <t>Daniel Carmona</t>
  </si>
  <si>
    <t>DANIEL</t>
  </si>
  <si>
    <t>Carmona</t>
  </si>
  <si>
    <t>198 LOWR Buena Vista Rd Cerro, NM 87519</t>
  </si>
  <si>
    <t>Cerro Vista Farm Cropland Rejuvenation and Bindweed Mitigation</t>
  </si>
  <si>
    <t>Project will occur on 11 acres of cropland. Low levels of organic matter in the soil, coupled with a field bindweed infestation will be remediated by keeping the soil covered, maximizing biodiversity, and maintaining a living root.</t>
  </si>
  <si>
    <t>Cerro Vista Farm</t>
  </si>
  <si>
    <t>Stahl</t>
  </si>
  <si>
    <t>102 NM 580 Dixon NM 87527</t>
  </si>
  <si>
    <t>The project will take place on 5.61 acres of crop and rangeland. The soil health-related concerns are compaction, soil organic matter depletion and poor pollinator habitat. The project will implement keeping the soil covered, maximizing biodiversity, maintaining a living root, integrating animals and minimizing disturbance.</t>
  </si>
  <si>
    <t>Many Daughters Farm</t>
  </si>
  <si>
    <t>John</t>
  </si>
  <si>
    <t>Neely</t>
  </si>
  <si>
    <t>Section; 32 Township: 4N Range:7E W2NE4; E2NW4</t>
  </si>
  <si>
    <t>The objective of this project of  159 acers of over grazed, depleted soil, Is to increase Native grasses, pollinator habitat , organic matter, and to increase water infiltration. By Integrating Cattle , and keystone species, such as Dung beetles, and earth worms .By Short duration grazing, using electric Fence.</t>
  </si>
  <si>
    <t>Paul Estrada</t>
  </si>
  <si>
    <t>Paulo</t>
  </si>
  <si>
    <t>Estrada</t>
  </si>
  <si>
    <t>35.139477, -103.520111</t>
  </si>
  <si>
    <t>Big Circle Healthy Soils Project</t>
  </si>
  <si>
    <t>The project covers 156 acres of cropland. Soil health-related concerns the project will address is : Low soil organic matter, soil compaction, erosion, lack of biodiversity, and poor soil structure. We will spread compost, incorporate it, plant a summer crop, harvest it, and plant a cover crop in the fall.</t>
  </si>
  <si>
    <t>Myself, Brian Archuleta</t>
  </si>
  <si>
    <t>Brian Archuleta</t>
  </si>
  <si>
    <t>BRIAN</t>
  </si>
  <si>
    <t>ARCHULETA</t>
  </si>
  <si>
    <t>6660 Cherokee Rd, Dexter, NM 88230</t>
  </si>
  <si>
    <t>Archuleta Healthy Soils Project</t>
  </si>
  <si>
    <t>This Project will include a total of 3 acres (2.5 acres of Rangeland &amp; .5 acres of Cropland). The Rangeland portion will decrease soil compaction, increasing native species diversity, &amp; water diversion. The Cropland portion will address decreasing soil compaction, increasing conservation cover &amp; soil carbon amendments.</t>
  </si>
  <si>
    <t>Noah Estrada</t>
  </si>
  <si>
    <t>Noah</t>
  </si>
  <si>
    <t>35.132664, -103.538353</t>
  </si>
  <si>
    <t>Circle 5 Healthy Soils Project</t>
  </si>
  <si>
    <t>The project covers 115 acres of cropland. Soil health-related concerns the project will address is : Low soil organic matter, soil compaction, erosion, lack of biodiversity, and poor soil structure. We will spread compost incorporate it, and plant a summer crop and then a cover crop in the fall.</t>
  </si>
  <si>
    <t>Jamie L Welles</t>
  </si>
  <si>
    <t>Jamie</t>
  </si>
  <si>
    <t>Welles</t>
  </si>
  <si>
    <t>96 Road 2125 Aztec New Mexico, 87410</t>
  </si>
  <si>
    <t>The Welles Lane Soil Health Improvement Plan is 4 acres and .2 acres of wildlife border. The land type is cropland. The soil health related concerns addressed are soil health principles: 1. Keep soil covered 2. Minimizing soil disturbance and external inputs 3. Maximizing biodiversity 4. Maintain a living root.</t>
  </si>
  <si>
    <t>Jamie Welles and Welles Lane Farm</t>
  </si>
  <si>
    <t>leah beattie</t>
  </si>
  <si>
    <t>Leah</t>
  </si>
  <si>
    <t>Beattie</t>
  </si>
  <si>
    <t>1204 Twilight  Belen New Mexico 87002 AND ALSO KNOWN AS 1110 Silva rd Belen, N.M. 87002</t>
  </si>
  <si>
    <t>Leah's Project</t>
  </si>
  <si>
    <t>5 acres. Remove trees and branches by hiring a company to use a chipper. Shred weeds, Light till, fix irrigation to use it , plant cover crop and edging,  spread mulch from trees, plant spring crop. Get ready for next year cash crop!</t>
  </si>
  <si>
    <t>L Beattie</t>
  </si>
  <si>
    <t>august young</t>
  </si>
  <si>
    <t>August</t>
  </si>
  <si>
    <t>Young</t>
  </si>
  <si>
    <t>20 Private Dr. 1078, Ohkay Owingeh, NM, 87566</t>
  </si>
  <si>
    <t>A La Madre Farms Healthy Soils Project</t>
  </si>
  <si>
    <t>- 43 acres.  - Majority of the project will be conducted on cropland, though there is some perimeter rangeland that would be included in the project  - Water permeability, retention, and nutrient deficiency issues, soil compaction and structure improvement. - No/low till, increase in biodiversity, pollinator habitat, improved rotational grazing</t>
  </si>
  <si>
    <t>A La Madre Farms</t>
  </si>
  <si>
    <t>Les Storhaug Healthy Soils Program 2026</t>
  </si>
  <si>
    <t>1. 2.5 acres 2. Cropland 3.Low organic soil matter, Soil compaction, Erosion and Undesirable plant productivity 4. Keep soil covered, Minimizing soil disturbance and minimizing external inputs, Maximizing biodiversity, Maintaining a living root  and Integrating animals into land management, including grazing animals, birds, beneficial insects or keystone species as earthworms</t>
  </si>
  <si>
    <t>Rick K. Wilson</t>
  </si>
  <si>
    <t>Richard</t>
  </si>
  <si>
    <t>Wilson</t>
  </si>
  <si>
    <t>1058 Sunset Rd SW Albuquerque, NM 87105</t>
  </si>
  <si>
    <t>The project is on 1.75 acres of land that was used as an illegal dump site for 30+ years. Perennial native plants and grasses will be planted to provide soil cover and maximize plant diversity for pollinators  and wildlife.</t>
  </si>
  <si>
    <t>Saltbush Flats - Albuquerque</t>
  </si>
  <si>
    <t>Jeff</t>
  </si>
  <si>
    <t>Hood</t>
  </si>
  <si>
    <t>1209 CR 41, Velarde, NM 87582</t>
  </si>
  <si>
    <t>I intend to recover 1.5 acres of degraded orchard and pasture. Resource concerns include; Organic matter depletion, Compaction, Deceased water infiltration, Poor soil structure, and Limited plant diversity. Agricultural practices include: Prescribed grazing, Fencing, Gated pipe irrigation, Compost, Reduced tillage, cover crop, establishing living roots.</t>
  </si>
  <si>
    <t>Rio Grande Refuge, Jeff Hood</t>
  </si>
  <si>
    <t>Jacob</t>
  </si>
  <si>
    <t>35.1788473, -103.7509483</t>
  </si>
  <si>
    <t>Jacob Lopez compost</t>
  </si>
  <si>
    <t>95 acres  cropland  low organic matter  improving soil nutrition minimum till corn and triticale</t>
  </si>
  <si>
    <t>Shelley Schweizer</t>
  </si>
  <si>
    <t>Shelley</t>
  </si>
  <si>
    <t>Schweizer</t>
  </si>
  <si>
    <t>141 County Road 40  Ohkay Owingeh, New Mexico  87566</t>
  </si>
  <si>
    <t>GreenFingers Farm: Regenerating Soil for Sustainable Farming</t>
  </si>
  <si>
    <t>GreenFingers Farm implements biodynamic/regenerative practices using raised/ framed field beds, growing perennial/annual flowers/herbs, fruits, and vegetables. We are addressing organic matter in the soil; plant productivity/vigor/health; soil moisture retention/drainage; and plant sun/heat tolerance.  We'll implement a soil health assessment, technological monitoring, low-to-no-tilling, cover-cropping, composting/mulching, organic nitrogen/phosphorous supplementation, and shade clothing.</t>
  </si>
  <si>
    <t>GreenFingers Farm</t>
  </si>
  <si>
    <t>Albert</t>
  </si>
  <si>
    <t>35.2552998, -103.5115511</t>
  </si>
  <si>
    <t>Albert Lopez compost</t>
  </si>
  <si>
    <t>120 acres cropland  compost will add organic matter nitrogen pottasium and phosphorus  main crop corn with a triticale cover crop</t>
  </si>
  <si>
    <t>Kendalle Martin, Clayton Martin</t>
  </si>
  <si>
    <t>Kendalle Martin</t>
  </si>
  <si>
    <t>Kendalle</t>
  </si>
  <si>
    <t>Martin</t>
  </si>
  <si>
    <t>1280 Desert Aire Dr.  Chaparral, NM 88081</t>
  </si>
  <si>
    <t>Martin Pecan Orchard Soil Health Improvement</t>
  </si>
  <si>
    <t>Amount of Land: ~3 acres Type: Cropland (Pecan orchard) Soil health-related resource concerns: (1) Compaction, (2) Soil organism habitat loss and degradation, (3) Soil organic matter depletion, and (4) Aggregate instability.  Agricultural/conservation practices: (1) Keeping soil covered, (2) Minimizing soil disturbances, (3) Maximizing biodiversity, and (4) Maintaining a living root.</t>
  </si>
  <si>
    <t>Martin Family</t>
  </si>
  <si>
    <t>David</t>
  </si>
  <si>
    <t>Sundberg</t>
  </si>
  <si>
    <t>10 Highview Lane, Santa Fe, NM 87508</t>
  </si>
  <si>
    <t>- 1.8 acres of cropland - 1.3 acres dryland, .5 acres drip irrigated,  - Concerns are compaction, low organic matter, lack of biodiversity, poor soil structure, water infiltration and percolation - Practices will be subsoiling, cover crop/pollinator seeding, nutrient management (compost), biological inoculation, hedgerow planting, biological assessment and intervention</t>
  </si>
  <si>
    <t>J. Nicholas Padilla</t>
  </si>
  <si>
    <t>Joseph</t>
  </si>
  <si>
    <t>Padilla</t>
  </si>
  <si>
    <t>34°53'26.76"N, 106°40'30.77"W</t>
  </si>
  <si>
    <t>The project aims to establish drought-tolerant native perennial grasses and row crop perennials such as lavender on 2 to 11 acres to improve soil health, support an apiary, and provide forage for livestock on vacant desertifed agricultural land, transforming it into a productive and sustainable part of our farming operation.</t>
  </si>
  <si>
    <t>Nick Padilla</t>
  </si>
  <si>
    <t>Sarah</t>
  </si>
  <si>
    <t>Pierpont</t>
  </si>
  <si>
    <t>2879 Industrial Road, Santa Fe, NM 87507</t>
  </si>
  <si>
    <t>RSF manages 3115 sq.ft. of subsistence/community garden, urban land with highly compacted soils, lack of biodiversity and low organic material. To build healthy soils and a demonstration garden, RSF will apply compost and mulch, practice no till planting, broadcast cover crops seeds, plant hedgerows, apply zero pesticides/herbicides, and expand irrigation.</t>
  </si>
  <si>
    <t>Recycle Santa Fe</t>
  </si>
  <si>
    <t>Benjamin J. Scott, Applicant</t>
  </si>
  <si>
    <t>Benjamin</t>
  </si>
  <si>
    <t>35°22'21.4"N 106°30'54.1"W, near Algodones, NM 87001</t>
  </si>
  <si>
    <t>Increasing Soil Organic Matter with Pollinators</t>
  </si>
  <si>
    <t>The project seeks to continue adding organic matter to the soil while incorporating bees and pollinator plants into the 7-acre riparian environment. The soil structure improvement should increase water retention and biodiversity.</t>
  </si>
  <si>
    <t>Benjamin J. Scott</t>
  </si>
  <si>
    <t>Nicholas</t>
  </si>
  <si>
    <t>Cohon</t>
  </si>
  <si>
    <t>862 Los Trujillos Lane Taos, NM 87571</t>
  </si>
  <si>
    <t>The pasture (39 acres) is flood irrigated and cattle grazed with rotational system. The garden (.5 acres) grows both annual and perennial vegetables and flowers and chickens. The orchard (1.5 acres) has 120+ heirloom and historically significant apples, peaches, plums, cherries and apricots as well as a tree nursery.</t>
  </si>
  <si>
    <t>Holly Hawk Farm, Nicholas Cohon</t>
  </si>
  <si>
    <t>Robert Haggerty</t>
  </si>
  <si>
    <t>Robert</t>
  </si>
  <si>
    <t>Haggerty</t>
  </si>
  <si>
    <t>20 county rd 94d Chimayo, NM 87522</t>
  </si>
  <si>
    <t>Orchard Soil Improvement FY26</t>
  </si>
  <si>
    <t>This project will improve the soil structure on 1.25 acres of orchard and planned orchard suffering from compaction, low biodiversity, and low organic matter by adding cover crops and and native planting hedgerows and improved mowing/mulching with the purchase of a flail mower attachment for my small tractor.</t>
  </si>
  <si>
    <t>Trees and Bees Orchard</t>
  </si>
  <si>
    <t>Kristin Swoszowski-Tran</t>
  </si>
  <si>
    <t>Kristin</t>
  </si>
  <si>
    <t>Swoszowski-Tran</t>
  </si>
  <si>
    <t>1368 State Highway 94, Mora, NM 87732. (In the village of Ledoux)</t>
  </si>
  <si>
    <t>Ledoux Grange, LLC, 2026 Restoration Project</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</si>
  <si>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intercropping, compost and cover crops will improve healthy soil biodiversity.</t>
  </si>
  <si>
    <t>Ledoux Grange, LLC</t>
  </si>
  <si>
    <t>Mary Catherine Baca-Scott, Applicant</t>
  </si>
  <si>
    <t>Mary Catherine</t>
  </si>
  <si>
    <t>Baca-Scott</t>
  </si>
  <si>
    <t>327 N Camino del Pueblo, Bernalillo, NM  87004</t>
  </si>
  <si>
    <t>Promoting Long Season Crops in an Urban Environment</t>
  </si>
  <si>
    <t>This project seeks to promote long season crops with no-till techniques, with living roots, and pollinator habitat in urban environment. Activities include laser levelling two (2) irrigated fields for planting alfalfa and native grass. Bees will be integrated into the area and plant pollinator plants areas around the field.</t>
  </si>
  <si>
    <t>Mary Scott</t>
  </si>
  <si>
    <t>Alfred L. Baca, Applicant</t>
  </si>
  <si>
    <t>Alfred</t>
  </si>
  <si>
    <t>Baca</t>
  </si>
  <si>
    <t>35°22'27.3"N 106°30'25.4"W, near Algodones, NM 87001</t>
  </si>
  <si>
    <t>This rangeland project will serve approximately 10 acres of land located in the Bosque near the Rio Grande, adjacent to the historic community of Algodones, NM. Bale grazing and water distribution will permit the soil to begin a process to recover its composition and structure.</t>
  </si>
  <si>
    <t>Alfred L. Baca</t>
  </si>
  <si>
    <t>Leland and Kristine Maez</t>
  </si>
  <si>
    <t>Leland</t>
  </si>
  <si>
    <t>Maez</t>
  </si>
  <si>
    <t>20 Bravo Farms Rd, La Joya, NM 87028</t>
  </si>
  <si>
    <t>The 3-acre flood irrigated cropland is composed of Armijo and Gila clay with limited water infiltration and organic matter.  Through practices of cover crop, limited tilling, drill-seeding, natural mulching, adding organic matter through wildlife grazing and maintaining live roots throughout the year, we will address our soil health challenges.</t>
  </si>
  <si>
    <t>The HQ Farms</t>
  </si>
  <si>
    <t>Peggyjoy Hodgen, Railyard Park Conservancy</t>
  </si>
  <si>
    <t>Peggyjoy Hodgen</t>
  </si>
  <si>
    <t>Peggyjoy</t>
  </si>
  <si>
    <t>Hodgen</t>
  </si>
  <si>
    <t>740 Cerrillos Road, Santa Fe, NM 87505</t>
  </si>
  <si>
    <t>"Graze Days and Grassland Restoration in the Railyard Park"</t>
  </si>
  <si>
    <t>3.5 acres rangeland. Concerns: lack of plant diversity; invasive species; bare ground; soil &amp; embankment erosion; compaction; inefficient water use &amp; infiltration  All five Principles will be implemented by the practices of prescribed grazing, reseeding, invasive removal &amp; using mulch, compost &amp; chop &amp; drop to cover bare ground.</t>
  </si>
  <si>
    <t>Railyard Park Conservancy, Peggyjoy Hodgen, Horticulture Director</t>
  </si>
  <si>
    <t>Stevenson Bass</t>
  </si>
  <si>
    <t>250 Valle Escondido Rd.  Taos, NM 87571</t>
  </si>
  <si>
    <t>Red Cloud Ranch Restoration Project</t>
  </si>
  <si>
    <t>Project is 118 acres of rangeland (75 acres) and thinned mixed conifer forests (43 acres). The soil health-related resource concerns are plant productivity/health, feed/forage balance, stream bank erosion, shorelines/water conveyance channels/organic matter depletion. Agricultural/conservation practices needed are prescribed grazing, herbaceous weed treatment, range planting, fencing, nutrient management, and cover crops.</t>
  </si>
  <si>
    <t>Red Cloud Ranch, Nicholas Cohon</t>
  </si>
  <si>
    <t>Astrid</t>
  </si>
  <si>
    <t>Mooney</t>
  </si>
  <si>
    <t>505 Neel Ave., Socorro, NM 87801</t>
  </si>
  <si>
    <t>With a small .3 acre property in the heart of Socorro, we aim to produce fresh fruit, veggies, and eggs to feed our family and small church community.  In order to address compaction, organic matter loss, and aggregate instability, we are proposing to install compost, mulch, cover cropping, and more!</t>
  </si>
  <si>
    <t>Mooney Family Farm</t>
  </si>
  <si>
    <t>Adam</t>
  </si>
  <si>
    <t>6352 Quay Road AK Tucumcari NM 88401</t>
  </si>
  <si>
    <t>Adam Lopez compost</t>
  </si>
  <si>
    <t>I have 129 acres of cropland That I am wanting to put compost on said land. I am going to put a cover crop after my cash crop is harvested in the fall either no till or minimal till</t>
  </si>
  <si>
    <t>Herman</t>
  </si>
  <si>
    <t>Joe</t>
  </si>
  <si>
    <t>35.156826-103.6222247</t>
  </si>
  <si>
    <t>Herman Lopez compost</t>
  </si>
  <si>
    <t>I have 140 acres of cropland That I am wanting to put compost on my land. I am going to put a cover crop after my cash crop is harvested in the fall either no till or minimal till</t>
  </si>
  <si>
    <t>Santa Fe Conservation Trust</t>
  </si>
  <si>
    <t>Melissa Houser</t>
  </si>
  <si>
    <t>Melissa</t>
  </si>
  <si>
    <t>Houser</t>
  </si>
  <si>
    <t>301 Thornton Ranch Road, Lamy, NM 87540</t>
  </si>
  <si>
    <t>SFCT Rangeland Restoration</t>
  </si>
  <si>
    <t>SFCT is working to restore 60 acres of rangeland where the natural resource concerns to be addressed through prescribed and bale grazing including: bare ground, low levels of soil cover and organic material, large patches with absence of plants, and invasive noxious plants present.</t>
  </si>
  <si>
    <t>Santa Fe Conservation Trust's Galisteo Property</t>
  </si>
  <si>
    <t>Nina</t>
  </si>
  <si>
    <t>Listro</t>
  </si>
  <si>
    <t>74 Snowy Owl Road, Stanley, NM 87056</t>
  </si>
  <si>
    <t>This project will enhance soil health on .5 acres by addressing wind erosion, low organic matter, and biodiversity loss. It aims to establish a drought-tolerant polyculture garden alongside a resilient windbreak, using organic amendments, mulching, cover cropping, and perennials to improve soil structure, increase fertility, and support a biodiverse agroecosystem.</t>
  </si>
  <si>
    <t>Arroyo Runs Through It</t>
  </si>
  <si>
    <t>Dylan Cox</t>
  </si>
  <si>
    <t>Douglas</t>
  </si>
  <si>
    <t>Patterson</t>
  </si>
  <si>
    <t>36.42145, -105.577888</t>
  </si>
  <si>
    <t>Rio Lucero Farms will restore La Isla into a healthy grass pasture and develop cropland for agricultural production. The project will address poor soil structure, wind erosion, and organic matter depletion by implementing cover-cropping to maximize biodiversity, incorporating nutrient-restoring compost, and cycling nutrients through regenerative agriculture practices.</t>
  </si>
  <si>
    <t>Rio Lucero Farms</t>
  </si>
  <si>
    <t>Lillian</t>
  </si>
  <si>
    <t>Gonzales</t>
  </si>
  <si>
    <t>667 Atrisco Dr SW Albuquerque, NM 87105</t>
  </si>
  <si>
    <t>The total property is 0.5 acres with the house, shed, driveways and concrete pathways taking up approximately 0.25 leaving 0.25 for grass, trees, shrubs, perennials, annuals, and vegetable crops. The soil is clay with gravel incorporated in random areas. The main issue is uncovered clay soil with little organic matter.</t>
  </si>
  <si>
    <t>Logan and Gina Vanlandingham</t>
  </si>
  <si>
    <t>Gina</t>
  </si>
  <si>
    <t>Vanlandingham</t>
  </si>
  <si>
    <t>466 Animas Creek Rd. Caballo, NM  87931</t>
  </si>
  <si>
    <t>We have 12 acres irrigated pasture of canyon bottom bordering Animas Creek riparian landscape.  We would like to use bale grazing, rotational intensive grazing using several classes of livestock (introducing birds) to improve plant diversity/health and soil organic matter, restore bare ground, and reduce water usage/increase drought resilience.</t>
  </si>
  <si>
    <t>32° 24.443'N 106° 46.847'W  Due west of 2735 Desert Wind Way, Las Cruces, NM</t>
  </si>
  <si>
    <t>Besitos Del Sol</t>
  </si>
  <si>
    <t>The seeding will occur on 3+- acres of 17.45 of rangeland addressing soil health by improving the soil with a mix of compost, manure, biochar, and clay soil, seeding with native grasses, and pollinators. It will implement maintaining a living root, maximize biodiversity, and maximize soil cover improving water integration.</t>
  </si>
  <si>
    <t>Marcos Torres, Owner of Besitos Del Sol.</t>
  </si>
  <si>
    <t>Cody Gajak</t>
  </si>
  <si>
    <t>Cody</t>
  </si>
  <si>
    <t>Gajak</t>
  </si>
  <si>
    <t>9B Laughing Raven Road  Santa Fe, NM 87508</t>
  </si>
  <si>
    <t>Improving Soil Health for the Future</t>
  </si>
  <si>
    <t>- 1.9 acres of rangeland - Currently dryland, will install drip at future plantings - Concerns are Decrease plant productivity, Soil erosion (wind and water), and low soil organic matter - Practices will be mulching, nutrient management, hedgerow planting, native seed planting</t>
  </si>
  <si>
    <t>Pilar Trujillo</t>
  </si>
  <si>
    <t>Pilar</t>
  </si>
  <si>
    <t>Trujillo</t>
  </si>
  <si>
    <t>287 County Rd 101, Chimayo 87522</t>
  </si>
  <si>
    <t>Restoring Soil &amp; Bolstering Biodiversity at Viva Vida Chimayo</t>
  </si>
  <si>
    <t>This project will help mitigate noxious weeds and improve soil health, biodiversity, and water retention/infiltration on 1.5 acres of ancestral cropland in Chimayo through a tiered approach incorporating integrative grazing, erosion control, ground covers, seeding of native grasses and forbs,  installation of no-till swales for berry production, and compost/mulching amendments.</t>
  </si>
  <si>
    <t>Viva Vida Chimayo, Pilar Trujillo</t>
  </si>
  <si>
    <t>Courtney</t>
  </si>
  <si>
    <t>McCary-Squyres</t>
  </si>
  <si>
    <t>1206 Greenwood Lane, Alamogordo, New Mexico 88310</t>
  </si>
  <si>
    <t>The With Many Hands Cultivating Community Urban Farm</t>
  </si>
  <si>
    <t>The With Many Hands Cultivating Community Urban Farm will be revitalizing a .71 acre diversified annual fruit and vegetable garden. The soil health related resource concerns include, lack of soil organic matter, and compaction. A compost application along with cover cropping will be the conservation practices implemented.</t>
  </si>
  <si>
    <t>Courtney McCary-Squyres, the With Many Hands Cultivating Community Urban Farm</t>
  </si>
  <si>
    <t>Rebekah Estrada</t>
  </si>
  <si>
    <t>Rebekah</t>
  </si>
  <si>
    <t>35.147174, -103.529572</t>
  </si>
  <si>
    <t>Circle 7 Healthy Soils Project</t>
  </si>
  <si>
    <t>The project covers 117 acres of cropland. Soil health-related concerns the project will address is : Low soil organic matter, soil compaction, erosion, lack of biodiversity, and poor soil structure. We will spread compost, incorporate it, plant a summer crop,  harvest it and plant a cover crop in the stubble.</t>
  </si>
  <si>
    <t>Jonathan</t>
  </si>
  <si>
    <t>Hupp</t>
  </si>
  <si>
    <t>1032 Millicent Rogers Rd, El Prado, NM 87529 &amp; 1082 La Cienega Rd, El Prado, NM 87529</t>
  </si>
  <si>
    <t>Goat Tree Orchard</t>
  </si>
  <si>
    <t>Our project will enhance soil health of a cider apple orchard and nearby pasture for sheep, through implementation of poultry silvopasture, conservation tillage, cover cropping, increased mulch and compost application, and irrigation infrastructure improvements.</t>
  </si>
  <si>
    <t>Jonathan Hupp or Goat Tree Orchard</t>
  </si>
  <si>
    <t>Art C.Q. Tran</t>
  </si>
  <si>
    <t>Art</t>
  </si>
  <si>
    <t>Tran</t>
  </si>
  <si>
    <t>4147 N US HIGHWAY 84 LA LOMA, NM 87724</t>
  </si>
  <si>
    <t>Dilia Knoll Farm Regenerative Land Use 2025</t>
  </si>
  <si>
    <t>Enrich the soil, which is in urgent need of organic matter and living roots, through cover cropping, planned grazing, and effective water management. In addition to promoting healthy soil and creating thriving pollinator habitats, engage with local underserved communities by offering affordable access to surplus edible cover crops.</t>
  </si>
  <si>
    <t>Dilia Knoll Farm, diliaknollfarm.com</t>
  </si>
  <si>
    <t>Hendrix</t>
  </si>
  <si>
    <t>Johnston</t>
  </si>
  <si>
    <t>109 county rd 142  Medanales, NM 87548</t>
  </si>
  <si>
    <t>Manage low soil organic matter and depletion, poor water retention, poor soil structure, erosion and lack of biodiversity by Implementing multi species cover crop sowings, bio char, a deep compost mulch combined with no till cropping system. This will be done on cropland, a 1 acre mixed vegetable market garden.</t>
  </si>
  <si>
    <t>Robin</t>
  </si>
  <si>
    <t>Waugaman</t>
  </si>
  <si>
    <t>23833 US-64 Tres Piedras, NM 87529  lat: 36.53692, long: -105.75003</t>
  </si>
  <si>
    <t>This project will restore soil carbon and cover on 60 acres of degraded rangeland using bale grazing, cover cropping and adaptive multi-paddock grazing with donkeys and horses. By monitoring soil health and vegetation recovery, we aim to refine management strategies for scaling regenerative practices across the entire 1,700-acre ranch.</t>
  </si>
  <si>
    <t>Regenerative Ranch</t>
  </si>
  <si>
    <t>Cecilia</t>
  </si>
  <si>
    <t>63 and 67 Square Deal Road Belen, NM  87002</t>
  </si>
  <si>
    <t>10.6 acres cropland lacks biodiversity, poor soil structure, soil compaction, water infiltration, low soil organic matter. Conservation practices of diverse crop rotation--cover crops--organic based amendments, short/high grazing, rotational grazing (terminate cover crop), and increase organic matter and biomass, reduce chemical drift, build pollinator habitat, reduce soil compaction, improve water infiltration.</t>
  </si>
  <si>
    <t>Baca Family Farm</t>
  </si>
  <si>
    <t>Kimberly Barmann - CS Ranch (shareholder)</t>
  </si>
  <si>
    <t>Kimberly Barmann</t>
  </si>
  <si>
    <t>Kimberly</t>
  </si>
  <si>
    <t>Barmann</t>
  </si>
  <si>
    <t>620 State Rd 58 Cimarron, NM 87714</t>
  </si>
  <si>
    <t>Pipeline and Water Tank Installation</t>
  </si>
  <si>
    <t>The CS Ranch is grateful to receive funding from NMDA's Healthy Soil Program to continue expanding our pipeline and water tank infrastructure, a critical factor in building healthy soils. This project will enhance utilization of 20,855 acres of our land helping accelerating soil biology, plant biodiversity and decrease plant overgrazing/underutilization.</t>
  </si>
  <si>
    <t>CS Ranch</t>
  </si>
  <si>
    <t>Greg Nussbaum</t>
  </si>
  <si>
    <t>Greg</t>
  </si>
  <si>
    <t>Nussbaum</t>
  </si>
  <si>
    <t>1 Camino de Paz, Santa Cruz, NM 87567</t>
  </si>
  <si>
    <t>Greg Nussbaum Camino de Paz Healthy Soil Project</t>
  </si>
  <si>
    <t>Camino de Paz is 10 acres of cropland with compacted Koshare-Urban &amp; Mirada-Bosquesito sandy loam soils with low to moderate organic material prone to codling moth.  We propose to do bale mulching, no till key line plowing for compaction, diverse reseeding  and utilize organic oil sprays to control pests.</t>
  </si>
  <si>
    <t>The Camino de Paz Montessori Farm School</t>
  </si>
  <si>
    <t>Samantha</t>
  </si>
  <si>
    <t>Hilborn-Naluai</t>
  </si>
  <si>
    <t>708 Sunset Drive Espanola NM 87532</t>
  </si>
  <si>
    <t>The garden is located on 0.25 acres that had been fallow for several years. The soil is sandy,  compacted, and has low soil organic matter. With extensive cover cropping and compost applications, I'm hoping to jumpstart the garden with more living organisms below and above ground.</t>
  </si>
  <si>
    <t>Margaret</t>
  </si>
  <si>
    <t>Knapp</t>
  </si>
  <si>
    <t>334 West Zia Rd, Santa Fe, NM 87505</t>
  </si>
  <si>
    <t>The agricultural and ecological enhancement of the A La Veggie Collective Farm takes place on 2.4 acres of degraded land in the Santa Fe urban periphery. With organic amendments, cover crops, pollinator plantings, and hedgerows, this project will address soil compaction, low soil organic matter, and a lack of biodiversity.</t>
  </si>
  <si>
    <t>The A La Veggie Farm Collective</t>
  </si>
  <si>
    <t>Kristen Davenport</t>
  </si>
  <si>
    <t>Kristen</t>
  </si>
  <si>
    <t>Davenport</t>
  </si>
  <si>
    <t>66 Las Trampas Road Llano NM 87543  (The county changed our address a couple of years ago, and so if you're looking on a map, sometimes the map says it is 38 Las Trampas Road)</t>
  </si>
  <si>
    <t>Restoring annual cropland to perennial rangeland</t>
  </si>
  <si>
    <t>We are restoring land used in annual-tillage agriculture back into perennial rangeland in order to address our organic matter depletion and compaction. We will put two 1.5-acre fields back into perennial native grasses, for a total of 3 acres.</t>
  </si>
  <si>
    <t>Hutchison</t>
  </si>
  <si>
    <t>36.937559, -105.554051</t>
  </si>
  <si>
    <t>The project will occur on 46 irrigated acres of cropland. The resource concerns include: wind erosion, sheet and rill erosion, organic matter depletion, plant pest pressure, plant productivity, and terrestrial habitat. Conservation practices include: Haney soil analysis; on-site fungal-dominant composting, extraction, and fertigation; perennial cover cropping; hedgerow establishment, no-till transition.</t>
  </si>
  <si>
    <t>Big Wheel Farm</t>
  </si>
  <si>
    <t>The Semilla Project</t>
  </si>
  <si>
    <t>The Semilla Project (Aaron Lee)</t>
  </si>
  <si>
    <t>Aaron</t>
  </si>
  <si>
    <t>Lee</t>
  </si>
  <si>
    <t>1700 Yale Blvd SE Albuquerque NM, 87106</t>
  </si>
  <si>
    <t>An existing .25 cropland acres will use conservation tillage, and cover cropping while expanding 0.80 cropland acres with soil sponges and cover cropping. Hedgerows will be built throughout. We will establish compost tea and vermicompost systems. These actions will address water retention, compaction, soil organic matter and structure, and biodiversity.</t>
  </si>
  <si>
    <t>Aaron Lee - Land and Food Sovereignty Manager</t>
  </si>
  <si>
    <t>Eric</t>
  </si>
  <si>
    <t>Chrisp</t>
  </si>
  <si>
    <t>2041 Muniz Rd. SW Albuquerque, NM 87105</t>
  </si>
  <si>
    <t>Chrisp Farm Rotational Grazing Paddock System</t>
  </si>
  <si>
    <t>Approximately 1.9 of the 2.78 acres of the range land will be involved. We hope to increase the fecundity and carbon capturing ability of the soil through rotational grazing, cover cropping, minimizing vehicle contact, and soil amendment of compost and biochar.</t>
  </si>
  <si>
    <t>Oberwortmann</t>
  </si>
  <si>
    <t>340 County Road B41E Ribera, NM 87560</t>
  </si>
  <si>
    <t>We are turning a fallow 3.8 acre field into a diverse perennial polyculture cropland.  Our soil health-related goals include inoculating and mulching the soil in order to increase biodiversity.  In addition, we will plant cover crops and pollinator plants for soil stability, nitrogen enhancement, and the attraction of pollinators.</t>
  </si>
  <si>
    <t>Rancho da Kissila LLC</t>
  </si>
  <si>
    <t>Soil and Water Conservancy</t>
  </si>
  <si>
    <t>Leslie Clark</t>
  </si>
  <si>
    <t>Clark</t>
  </si>
  <si>
    <t>1496 State Rd 1 San Antonio, NM 87832</t>
  </si>
  <si>
    <t>Clark Farm Soil Improvement</t>
  </si>
  <si>
    <t>This project will expand our current operations to include honey production, improved soil management, and a diverse selection of crops. We have approximately 15 acres of cropland.  The soil is high salinity/very dense.  We will cover much of the land with plants which raise the microbiome and enrich soil.</t>
  </si>
  <si>
    <t>The Clark Farm</t>
  </si>
  <si>
    <t>Blake Estrada</t>
  </si>
  <si>
    <t>Blake</t>
  </si>
  <si>
    <t>35.147305, -103.520723</t>
  </si>
  <si>
    <t>Riley Farm Healthy Soil Project</t>
  </si>
  <si>
    <t>The project covers roughly 114 acres of cropland. Soil health-related concerns the project will adress is : Low soil organic matter, soil compaction, erosion, lack of biodiversity, and poor soil structure. We will spread compost and will no till a summer crop into the triticale stubble.</t>
  </si>
  <si>
    <t>Tobias Duncan</t>
  </si>
  <si>
    <t>Nadia Cabrera-Mazzeo</t>
  </si>
  <si>
    <t>Tobias</t>
  </si>
  <si>
    <t>Duncan</t>
  </si>
  <si>
    <t>610 Paseo del Pueblo Norte, Taos, NM 87571</t>
  </si>
  <si>
    <t>Not Forgotten Land Stewardship</t>
  </si>
  <si>
    <t>NFO seeks to implement adaptive grazing and cover cropping on 24 acres of rangeland with the goals of improving soil health, especially in select dessertified areas of the field, increasing biodiversity, especially reducing the amount of noxious weeds and encouraging growth of native species, and preventing erosion in riparian areas.</t>
  </si>
  <si>
    <t>Not Forgotten Farm</t>
  </si>
  <si>
    <t>Doña Ana</t>
  </si>
  <si>
    <t>Hidalgo</t>
  </si>
  <si>
    <t>Bernalillo</t>
  </si>
  <si>
    <t>Santa Fe</t>
  </si>
  <si>
    <t>Sandoval</t>
  </si>
  <si>
    <t>Rio Arriba</t>
  </si>
  <si>
    <t>Taos</t>
  </si>
  <si>
    <t>Quay</t>
  </si>
  <si>
    <t>Torrance</t>
  </si>
  <si>
    <t>Chaves</t>
  </si>
  <si>
    <t>San Juan</t>
  </si>
  <si>
    <t>Valencia</t>
  </si>
  <si>
    <t>Mora</t>
  </si>
  <si>
    <t>Socorro</t>
  </si>
  <si>
    <t>Sierra</t>
  </si>
  <si>
    <t>Otero</t>
  </si>
  <si>
    <t>Guadalupe</t>
  </si>
  <si>
    <t>Colfax</t>
  </si>
  <si>
    <t>San Miguel</t>
  </si>
  <si>
    <t>Individual Applicant</t>
  </si>
  <si>
    <t>Title (FY26 Healthy Soil Program Grant for Eligible Entities)</t>
  </si>
  <si>
    <t>In which New Mexico county is the project site(s) located? (FY26 Healthy Soil Program Grant for Eligible Entities)</t>
  </si>
  <si>
    <t>Does the project site(s) have a physical address or coordinates?  (FY26 Healthy Soil Program Grant for Eligible Entities)</t>
  </si>
  <si>
    <t>What is the physical address of the project site(s)? : Address 1 (FY26 Healthy Soil Program Grant for Eligible Entities)</t>
  </si>
  <si>
    <t>What is the physical address of the project site(s)? : Address 2 (FY26 Healthy Soil Program Grant for Eligible Entities)</t>
  </si>
  <si>
    <t>What is the physical address of the project site(s)? : City (FY26 Healthy Soil Program Grant for Eligible Entities)</t>
  </si>
  <si>
    <t>What is the physical address of the project site(s)? : Region (FY26 Healthy Soil Program Grant for Eligible Entities)</t>
  </si>
  <si>
    <t>What is the physical address of the project site(s)? : Country (FY26 Healthy Soil Program Grant for Eligible Entities)</t>
  </si>
  <si>
    <t>What is the physical address of the project site(s)? : Postal Code (FY26 Healthy Soil Program Grant for Eligible Entities)</t>
  </si>
  <si>
    <t>What is the physical address of the project site(s)? : Longitude (FY26 Healthy Soil Program Grant for Eligible Entities)</t>
  </si>
  <si>
    <t>What is the physical address of the project site(s)? : Latitude (FY26 Healthy Soil Program Grant for Eligible Entities)</t>
  </si>
  <si>
    <t>What are the latitude and longitude coordinates of the project site(s)? (FY26 Healthy Soil Program Grant for Eligible Entities)</t>
  </si>
  <si>
    <t>Which Eligible Entity type best describes your organization? (FY26 Healthy Soil Program Grant for Eligible Entities)</t>
  </si>
  <si>
    <t>What is the name of the Eligible Entity? (FY26 Healthy Soil Program Grant for Eligible Entities)</t>
  </si>
  <si>
    <t>Project Title (FY26 Healthy Soil Program Grant for Eligible Entities)</t>
  </si>
  <si>
    <t>Provide your project summary below. (FY26 Healthy Soil Program Grant for Eligible Entities)</t>
  </si>
  <si>
    <t>2,672,992.31E 1,423,807.68N</t>
  </si>
  <si>
    <t>The Bond Ranch project spans 5,375 acres of rangeland, addressing wind erosion, low organic matter, poor infiltration, and low plant diversity using seeding, organic amendments, soil stimulants, and prescribed grazing. This project will serve as a model to help ranchers/producers implement soil health practices on their own rangeland.</t>
  </si>
  <si>
    <t>Physical address</t>
  </si>
  <si>
    <t>1304 CR AB</t>
  </si>
  <si>
    <t>District Wide</t>
  </si>
  <si>
    <t>Melrose</t>
  </si>
  <si>
    <t>NM</t>
  </si>
  <si>
    <t>US</t>
  </si>
  <si>
    <t>-103.4953802</t>
  </si>
  <si>
    <t>34.4465676</t>
  </si>
  <si>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</si>
  <si>
    <t>4001 Office Court Drive, Suite 1001</t>
  </si>
  <si>
    <t>-106.0159827</t>
  </si>
  <si>
    <t>35.6330892</t>
  </si>
  <si>
    <t>Through a district-wide campaign, Santa Fe-Pojoaque SWCD will offer access to soil testing, cover crop seed, compost, mulch and biological inoculants. The healthy soil grant will benefit up to 7 farms or ranches within the district and will impact an estimated total of 20-100 acres of crop-and/or rangeland.</t>
  </si>
  <si>
    <t>050 New Mexico Highway 467</t>
  </si>
  <si>
    <t>Portales</t>
  </si>
  <si>
    <t>-103.3189342</t>
  </si>
  <si>
    <t>34.2687983</t>
  </si>
  <si>
    <t>Roosevelt Soil &amp; Water Conservation District</t>
  </si>
  <si>
    <t>Restoring Soil Health to Roosevelt County</t>
  </si>
  <si>
    <t>The District will reimburse producers for spreading organic-based soil amendments (compost &amp; manure) on approximately 1900 acres of dryland and irrigated cropland to improve low soil organic matter, water infiltration and percolation, soil compaction, poor soil structure, and lack of biodiversity.</t>
  </si>
  <si>
    <t>410 La Posta Road</t>
  </si>
  <si>
    <t>-105.588022</t>
  </si>
  <si>
    <t>36.399204</t>
  </si>
  <si>
    <t>Acequia</t>
  </si>
  <si>
    <t>Vigil y Romo Acequia</t>
  </si>
  <si>
    <t>Vigil y Romo Phase Two</t>
  </si>
  <si>
    <t>Work will occur on 41 acres, each with varying soil health. We will continue to seed a cover crop mix. We will expand from cover crops in two areas. We will demonstrate building healthy soil in drought conditions through no-till seeding, cover cropping, seeding for native pollinators, and mulching.</t>
  </si>
  <si>
    <t>19283 US Highway 84/285 Suite 112</t>
  </si>
  <si>
    <t>Hernandez</t>
  </si>
  <si>
    <t>-106.1384904</t>
  </si>
  <si>
    <t>36.0977767</t>
  </si>
  <si>
    <t>Cost-share purchase of cover-crop, permanent-pasture, and native-grass seeds. Cost-Share purchase of Fertilizer Amount of Land: 200 acres Land Type: Range Land, Forest Land, Orchards, Irrigated Fields Concerns: Erosion, Compaction, Depleted organic-matter, degradation of soil habitat, aggregate-instability. Practices: keeping soil covered, minimizing soil-disturbance, maximizing biodiversity, maintaining a living-root. Complete soil-assessment required.</t>
  </si>
  <si>
    <t>3229 Rodeo Rd</t>
  </si>
  <si>
    <t>Santa Fe, NM</t>
  </si>
  <si>
    <t>New Mexico</t>
  </si>
  <si>
    <t>-105.9946795</t>
  </si>
  <si>
    <t>35.6394653</t>
  </si>
  <si>
    <t>New Mexico State University--Cooperative Extension Service</t>
  </si>
  <si>
    <t>Land Reclamation and Native Grass Establishment Demonstration</t>
  </si>
  <si>
    <t>Bare ground seems to persist throughout the area due to poor management, mowing, and erosion.  Through careful planning and seeding using the Keyline plough and design we hope to create a grassland demonstration that local and area landowners can emulate on their respective properties.</t>
  </si>
  <si>
    <t>35° 7'53.12"N, 106°40'41.28"W (vertex of fields 2B, 2C, and 2D; see star symbol in attached map document CNP-Map-HSP25.pdf)</t>
  </si>
  <si>
    <t>Ciudad Soil and Water Conservation District</t>
  </si>
  <si>
    <t>Wildlife Forage and Habitat Development for Soil Health in Albuquerque</t>
  </si>
  <si>
    <t>On 79 acres, the project addresses erosion, low soil organic matter, soil compaction, poor soil structure and water infiltration by seeding and planting a diverse array of native plants and mulching exposed soil. Nesting support for birds expands biodiversity in the preserve ecosystem above and below the soil surface.</t>
  </si>
  <si>
    <t>35.9870325, -106.0112531</t>
  </si>
  <si>
    <t>Acequia del Llano</t>
  </si>
  <si>
    <t>Rio Santa Cruz Acequias improving soil health through traditional practices.</t>
  </si>
  <si>
    <t>Collaborating acequias will restore agroecological functions to 1.8-acres of riparian corridor, the heart of the irrigation system. Addressing disturbances of accumulated dredged sediment and wildfire fuels from riparian tree mortality, the team will restore floodplains, increasing water availability from desagues and flood flows, and replant and mulch biodiverse perennial vegetation.</t>
  </si>
  <si>
    <t>5945 Isleta Blvd SW</t>
  </si>
  <si>
    <t>Albuquerque</t>
  </si>
  <si>
    <t>-106.6960385</t>
  </si>
  <si>
    <t>34.9910269</t>
  </si>
  <si>
    <t>Biodiversity for Soil Health in the South Valley</t>
  </si>
  <si>
    <t>On 4 acres, the project addresses erosion, low soil organic matter, soil compaction, poor soil structure and water infiltration by improving compost systems, diversifying cover crop usage, and planting native perennials for habitat for natural pest management.</t>
  </si>
  <si>
    <t>715 S. 5th St</t>
  </si>
  <si>
    <t>PO Box 58</t>
  </si>
  <si>
    <t>Estancia</t>
  </si>
  <si>
    <t>New Mecxico</t>
  </si>
  <si>
    <t>-106.055894</t>
  </si>
  <si>
    <t>34.754383</t>
  </si>
  <si>
    <t>Brush Management Post Land Treatment</t>
  </si>
  <si>
    <t>Seeding will occur on 60 acres of various private owned land where brush management has occurred.  It will be on Rangeland, Forrest land and wildlife habitat. Concerns it will address is water table, and would help with wind erosion and air quality</t>
  </si>
  <si>
    <t>6502 Quay Rd. AM 5</t>
  </si>
  <si>
    <t>Tucumcari</t>
  </si>
  <si>
    <t>-103.6925757</t>
  </si>
  <si>
    <t>35.1976017</t>
  </si>
  <si>
    <t>Another "local governmental entity with proven land management capacity to support healthy soil"</t>
  </si>
  <si>
    <t>New Mexico State University Rex E. Kirksey Agricultural Science Center-Tucumcari</t>
  </si>
  <si>
    <t>Cover crops for soil health and productivity</t>
  </si>
  <si>
    <t>A study will be conducted on over one-acre crop land to investigate various parameters related to soil and plant water conservation, soil nutrient management, and healthy microbial activity as result of planting diverse cover crop species under no-tillage to replace partial fallow period in winter wheat-based cropping systems.</t>
  </si>
  <si>
    <t>220 Chamisa Rd</t>
  </si>
  <si>
    <t>-105.6028968</t>
  </si>
  <si>
    <t>36.3751344</t>
  </si>
  <si>
    <t>Taos Soil and Water Conservation District</t>
  </si>
  <si>
    <t>Taos SWCD will help landowners with 225 acres of perennial pasture (dryland and irrigated) in need of more ground cover. No-till cover cropping and bale grazing practices will address soils at high risk of erosion and will increase infiltration rates, water holding capacity, and plant and microbial biomass and biodiversity.</t>
  </si>
  <si>
    <t>Various</t>
  </si>
  <si>
    <t>Las Cruces, Chaparral, Vado and Mesquite</t>
  </si>
  <si>
    <t>-106.614795</t>
  </si>
  <si>
    <t>32.080527</t>
  </si>
  <si>
    <t>DASWCD is seeking funding through the NMDA Healthy Soil Program Eligible Entity Grant to implement a cover crop initiative that will improve soil health, reduce erosion, enhance water retention, within rural areas of DAC.  Through this initiative, DASWCD will help ensure local agricultural lands remain productive, resilient, and sustainable</t>
  </si>
  <si>
    <t>586 S Ninth St</t>
  </si>
  <si>
    <t>Santa Rosa</t>
  </si>
  <si>
    <t>-104.6806268</t>
  </si>
  <si>
    <t>34.9384332</t>
  </si>
  <si>
    <t>The creation of this program will benefit 400-500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</si>
  <si>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918 Parkland Dr.</t>
  </si>
  <si>
    <t>Clovis</t>
  </si>
  <si>
    <t>-103.193322</t>
  </si>
  <si>
    <t>34.4233141</t>
  </si>
  <si>
    <t>Central Curry</t>
  </si>
  <si>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</si>
  <si>
    <t>1703 N Garden Ave Suite A</t>
  </si>
  <si>
    <t>Roswell</t>
  </si>
  <si>
    <t>-104.5141141</t>
  </si>
  <si>
    <t>33.4132771</t>
  </si>
  <si>
    <t>Chaves Soil &amp; Water Conservation District</t>
  </si>
  <si>
    <t>This project includes over 550+/- acres within Chaves SWCD. Funding will be put toward cover crop seed and soil tests/monitoring. Resource concerns include improving soil quality, biodiversity, and prevention of wind erosion. Implementation of both Annual and Perennial cover crops will be utilized using no-till drills or conservation tillage practices.</t>
  </si>
  <si>
    <t>Guadalupe Soil &amp; Water Conservation District</t>
  </si>
  <si>
    <t>The GSWCD is requesting funding to create a pilot project to implement intensive, targeted grazing utilizing virtual fencing technology. The goal is to provide local data and understanding of the benefits of virtual fencing to local producers to garner interest in the practice to lead to healthier soils.</t>
  </si>
  <si>
    <t>255 Cochiti St</t>
  </si>
  <si>
    <t>Cochiti Pueblo</t>
  </si>
  <si>
    <t>-106.3485252</t>
  </si>
  <si>
    <t>35.6078109</t>
  </si>
  <si>
    <t>The pueblo is initiating a new farmer program to recover from two decades of challenges including field flooding from the construction of Cochiti Lake and total shutdown during COVID-19.  Many of the young farmers have asked for land to begin farming more traditional that aligns with TEK and Soil Health</t>
  </si>
  <si>
    <t>38 Camino del Medio</t>
  </si>
  <si>
    <t>San Cristobal</t>
  </si>
  <si>
    <t>-105.6433352</t>
  </si>
  <si>
    <t>36.5952416</t>
  </si>
  <si>
    <t>San Cristobal Ditch Association</t>
  </si>
  <si>
    <t>San Cristobal cover crop project</t>
  </si>
  <si>
    <t>This year we are planning to sew 40 acres of grazing mix into fields that we cover cropped last fall. We also plan to do an additional 15 acres of cover crop and expand our AMP grazing with some new hotwire equipment.</t>
  </si>
  <si>
    <t>118 Calle Malinche</t>
  </si>
  <si>
    <t>-106.5503448</t>
  </si>
  <si>
    <t>35.3043615</t>
  </si>
  <si>
    <t>Bernalillo Community Museum - Town of Bernalillo</t>
  </si>
  <si>
    <t>Bernalillo Community Museum - 2025 Growing Season Improvements</t>
  </si>
  <si>
    <t>We hope to install a drip irrigation system for the back section of the community garden, where we are working to remediate severely damaged soils to eventually be able to grow food. We will also apply another cover of mulch and compost to keep building the soil health.</t>
  </si>
  <si>
    <t>267 Main Road</t>
  </si>
  <si>
    <t>Capitan</t>
  </si>
  <si>
    <t>-105.6121415</t>
  </si>
  <si>
    <t>33.5393879</t>
  </si>
  <si>
    <t>UHSWCD Healthy Soils Project</t>
  </si>
  <si>
    <t>We will be reaching out to our community to obtain at least ten landowners with up ten acres each of land needing soil health assistance. This will be on farmland and rangeland. It will address all of the principals of the soil health initiatives.</t>
  </si>
  <si>
    <t>PO Drawer 1318</t>
  </si>
  <si>
    <t>10086 HWY NM371</t>
  </si>
  <si>
    <t>Farmington</t>
  </si>
  <si>
    <t>-108.176921</t>
  </si>
  <si>
    <t>36.748162</t>
  </si>
  <si>
    <t>Navajo Agricultural Products Industry</t>
  </si>
  <si>
    <t>Protecting NAPI Farmland</t>
  </si>
  <si>
    <t>A total of 1,765 acres (21 fields) of cropland will be kept idle due to crop acreage decease, and drainage and noxious weed issues. A cover crop mix will be planted to protect top soil to reduce wind and water erosion, and provide a grazing option to Navajo Ranchers.</t>
  </si>
  <si>
    <t>Cibola</t>
  </si>
  <si>
    <t>Roosevelt</t>
  </si>
  <si>
    <t>Curry</t>
  </si>
  <si>
    <t>Lincoln</t>
  </si>
  <si>
    <t>Soil and Water Conservation District</t>
  </si>
  <si>
    <t>Tribe, Nation, or Pueblo</t>
  </si>
  <si>
    <t>Santa Fe Pojoaque SWCD</t>
  </si>
  <si>
    <t>Ciudad SWCD</t>
  </si>
  <si>
    <t>East Torrance SWCD</t>
  </si>
  <si>
    <t>Upper Hondo SWCD</t>
  </si>
  <si>
    <t>Hidalgo SWCD</t>
  </si>
  <si>
    <t>Caballo SWCD</t>
  </si>
  <si>
    <t>Hagerman-Dexter SWCD</t>
  </si>
  <si>
    <t>McKinley SWCD</t>
  </si>
  <si>
    <t>Mesa and Ute Creek SWCD</t>
  </si>
  <si>
    <t>Sierra SWCD</t>
  </si>
  <si>
    <t>Border SWCD</t>
  </si>
  <si>
    <t>Coronado SWCD</t>
  </si>
  <si>
    <t>Updating of Hidalgo SWCD Land Use Plan</t>
  </si>
  <si>
    <t>Utilizing Drone Technology to Manage Mesquite Infestation</t>
  </si>
  <si>
    <t>Taos SWCD Forest Health Program</t>
  </si>
  <si>
    <t>Hagerman Canal Restoration</t>
  </si>
  <si>
    <t>The McKinley Soil and Water Conservation District Program Enhancement
Project</t>
  </si>
  <si>
    <t>Mesa and Ute Creek SWCD Groundwater Monitoring Workshop</t>
  </si>
  <si>
    <t>Gila Forest Fire Fuels Reduction and Safety Initiative</t>
  </si>
  <si>
    <t>Pintada Arroyo Sedimentation Mitigation Project Continuation</t>
  </si>
  <si>
    <t>Advancing the Residential Rainwater Harvesting Installation Program</t>
  </si>
  <si>
    <t>Chaves SWCD Juniper Mitigation and Irrigation Restoration Initiative</t>
  </si>
  <si>
    <t>Education: Pay It Forward</t>
  </si>
  <si>
    <t>Sustainable Land Management Workshop Series</t>
  </si>
  <si>
    <t>Southwest Quay SWCD Educational Coloring Books</t>
  </si>
  <si>
    <t>Childrens Educational Activities</t>
  </si>
  <si>
    <t>Restoration of Eroding OHV Trails on Three Flood Control Dams'
Embankments in Rio Arriba Co., NM.</t>
  </si>
  <si>
    <t>All About Ag Phase 2</t>
  </si>
  <si>
    <t>The McKinley Soil and Water Conservation District Resources Series</t>
  </si>
  <si>
    <t>District Opportunities Grant</t>
  </si>
  <si>
    <t>Title (FY26 District Opportunities Grant )</t>
  </si>
  <si>
    <t>This application is being submitted on behalf of a... (FY26 District Opportunities Grant )</t>
  </si>
  <si>
    <t>What is the name of your Soil and Water Conservation District? (FY26 District Opportunities Grant )</t>
  </si>
  <si>
    <t>What is the physical address of your Soil and Water Conservation District?: Address 1 (FY26 District Opportunities Grant )</t>
  </si>
  <si>
    <t>What is the physical address of your Soil and Water Conservation District?: Address 2 (FY26 District Opportunities Grant )</t>
  </si>
  <si>
    <t>What is the physical address of your Soil and Water Conservation District?: City (FY26 District Opportunities Grant )</t>
  </si>
  <si>
    <t>What is the physical address of your Soil and Water Conservation District?: Region (FY26 District Opportunities Grant )</t>
  </si>
  <si>
    <t>What is the physical address of your Soil and Water Conservation District?: Country (FY26 District Opportunities Grant )</t>
  </si>
  <si>
    <t>address combined</t>
  </si>
  <si>
    <t>What is the physical address of your Soil and Water Conservation District?: Postal Code (FY26 District Opportunities Grant )</t>
  </si>
  <si>
    <t>What is the physical address of your Soil and Water Conservation District?: Latitude (FY26 District Opportunities Grant )</t>
  </si>
  <si>
    <t>What is the physical address of your Soil and Water Conservation District?: Longitude (FY26 District Opportunities Grant )</t>
  </si>
  <si>
    <t>Is this physical address the same as your district's mailing address? (FY26 District Opportunities Grant )</t>
  </si>
  <si>
    <t>What is the name of your Watershed District? (FY26 District Opportunities Grant )</t>
  </si>
  <si>
    <t>What is the physical address of your Watershed District?: Address 1 (FY26 District Opportunities Grant )</t>
  </si>
  <si>
    <t>What is the physical address of your Watershed District?: Address 2 (FY26 District Opportunities Grant )</t>
  </si>
  <si>
    <t>What is the physical address of your Watershed District?: City (FY26 District Opportunities Grant )</t>
  </si>
  <si>
    <t>What is the physical address of your Watershed District?: Region (FY26 District Opportunities Grant )</t>
  </si>
  <si>
    <t>What is the physical address of your Watershed District?: Country (FY26 District Opportunities Grant )</t>
  </si>
  <si>
    <t>What is the physical address of your Watershed District?: Postal Code (FY26 District Opportunities Grant )</t>
  </si>
  <si>
    <t>What is the physical address of your Watershed District?: Longitude (FY26 District Opportunities Grant )</t>
  </si>
  <si>
    <t>What is the physical address of your Watershed District?: Latitude (FY26 District Opportunities Grant )</t>
  </si>
  <si>
    <t>Provide a Project Summary (FY26 District Opportunities Grant )</t>
  </si>
  <si>
    <t>Provide a Project Title (FY26 District Opportunities Grant )</t>
  </si>
  <si>
    <t>Watershed District</t>
  </si>
  <si>
    <t>Yes</t>
  </si>
  <si>
    <t>Upper Rio Grande Watershed District</t>
  </si>
  <si>
    <t>19283 US HWY 84/285 Suite 112</t>
  </si>
  <si>
    <t>Objectives:  To hire a project manager to assist with professional services and project assessment of current surface conditions for slope stabilization of the district's dams sites to increase life span.  The plan will also assist the acequia community's with invasive species removal.   Justification:  Network with with State Engineers Office, all stakeholders, and to partner with communities to restore surface stability for district's dams and acequias.  Methods:  Administrative duties, grant research, field work, and legalities.  Evaluation:  Monthly monitoring of ongoing projects; invasive species treatment, and dam conditions that a contract professional and/or project manager oversees.</t>
  </si>
  <si>
    <t>Project -Office Manager</t>
  </si>
  <si>
    <t>Objectives: Project plan and design or preliminary professional assessment of dam or infrastructure conditions for slope stabilization of the districts dam sites and life span, as well as assist with the acequia community. Justification: The State Engineers Office requires a watershed district maintain and repair from any rodent, invasive species from erosion on the crest of dams, and to enable East Rio Arriba Soil and Water Conservation and Upper Rio Grande Watershed District's to meet their long-range plan and mission. Methods: Surveying, engineer design and legalities Evaluation: Monitor progress monthly, weather permitting.</t>
  </si>
  <si>
    <t>URGWD Dam and Acequia Restoration Project</t>
  </si>
  <si>
    <t>Border</t>
  </si>
  <si>
    <t>704 State St.</t>
  </si>
  <si>
    <t>Elida</t>
  </si>
  <si>
    <t>33.9480562</t>
  </si>
  <si>
    <t>-103.6561757</t>
  </si>
  <si>
    <t>No</t>
  </si>
  <si>
    <t>BSWCD will increase training ourselves and expand events and outreach creating awareness and providing solutions through partner collaboration.      A goal of at least four events will provide guidance for noxious weed identification (particularly African Rue), weed treatment, mapping, CEUs, youth education, funding opportunities, rule-making and legislation updates.  Partnership expansion will grow.  Availability of rental equipment, tools, cost-shares and the like will expand so our residents and event participants are equipped and encouraged to begin conservation work immediately.</t>
  </si>
  <si>
    <t>Education:  Pay It Forward</t>
  </si>
  <si>
    <t>Caballo Soil &amp; Water Conservation District</t>
  </si>
  <si>
    <t>3000 HWY 187</t>
  </si>
  <si>
    <t>Salem</t>
  </si>
  <si>
    <t>32.6936946</t>
  </si>
  <si>
    <t>-107.1967716</t>
  </si>
  <si>
    <t>Caballo SWCD, Carrizozo SWCD, and Taos SWCD are collaborating to build 3D models of tree trunks using a 3D printer. These scale models will be shared with all 47 soil and water conservation districts across the state as educational tools. The goal is to teach children that trees are intricate organisms, possessing systems similar to those found in humans, such as vascular structures and veins.</t>
  </si>
  <si>
    <t>3D Tree Trunk Project</t>
  </si>
  <si>
    <t>The goal of this project is to create and print educational activity books specifically designed for school-aged children. These books will serve as tools for conservation education outreach activities, aimed at increasing awareness and understanding of environmental conservation among young learners. By distributing these activity books during outreach events, we hope to engage children in interactive and informative activities that promote a sense of responsibility towards nature and inspire future conservation efforts. The project will not only provide valuable educational resources but also foster a deeper connection between children and the environment.</t>
  </si>
  <si>
    <t>Childrens Educational Activities Workbooks</t>
  </si>
  <si>
    <t>The Caballo Soil and Water Conservation District will partner with the USDA to develop an interactive educational outreach program for low-income housing communities in Hatch. This program will focus on pollinator education and food security, specifically targeting low-income farm laborers in the Hatch Valley who need support the most.</t>
  </si>
  <si>
    <t>Hatch USDA Low Income Housing Food Security and Sustainability</t>
  </si>
  <si>
    <t>Caballo Soil and Water Conservation District</t>
  </si>
  <si>
    <t>This project will be a demonstration site used by the District, community and public to educate the residents about soil health, food sustainability and pollinators.</t>
  </si>
  <si>
    <t>Caballo District Building  Hugelkultur, Healthy Soils, Sustainable Food and Pollinator Demonstration Plot</t>
  </si>
  <si>
    <t>Project will provide Pre-K through 5th grade elementary students to experience of the multiple aspects of agriculture and the benefits to the community through hands on learning.</t>
  </si>
  <si>
    <t>Hatch Valley School DIstrict Ag Day</t>
  </si>
  <si>
    <t>Carlsbad Soil and Water Conservation District</t>
  </si>
  <si>
    <t>3219 S Canal St</t>
  </si>
  <si>
    <t>Carlsbad</t>
  </si>
  <si>
    <t>32.3871577</t>
  </si>
  <si>
    <t>-104.2150721</t>
  </si>
  <si>
    <t>This project will restore native grassland landscapes for wildlife, livestock and recreational use within the southern NM Pecos River Watershed area. Removal of Creosote in grassland areas, encourages grass regrowth, enhances water infiltration rates and inhibits healthier soils. Creosote brush will be treated with herbicide using an aerial application method. Transects and infiltration tests will be utilized to evaluate implemented restoration practices. Carlsbad SWCD works hand in hand with private landowners, BLM, NM SLO, NMACD, NMDGF, SWCDs, NGOs, NMDA, NRCS, and NFWF in an effort to conserve the vital resources in southeast New Mexico.</t>
  </si>
  <si>
    <t>Eddy County Grasslands Restoration</t>
  </si>
  <si>
    <t>Carrizozo Soil and Water Conservation District</t>
  </si>
  <si>
    <t>307 12th Street</t>
  </si>
  <si>
    <t>Carrizozo</t>
  </si>
  <si>
    <t>33.6433948</t>
  </si>
  <si>
    <t>-105.8740535</t>
  </si>
  <si>
    <t>This project will establish a network of independently functioning weather stations providing critical atmospheric data to local producers and the public. The integrated system will transmit real-time data to a central application accessible by the public. Over time, the network will offer insights into the district’s rainfall and weather patterns, supporting agricultural planning and water resource management. Crucially, the data will enhance our hydrogeological study, improving groundwater management and environmental health assessments. Stakeholders include local ranchers, residents, and public agencies.</t>
  </si>
  <si>
    <t>Independently functioning Weather stations in the Carrizozo Soil and Water Conservation District</t>
  </si>
  <si>
    <t>The Central Curry SWCD aims to enhance rangeland quality and sustainability through various conservation practices. These include conventional and virtual fencing, subsoiling and seeding, brush control, playa lake restoration, water distribution, and the use of shade balls to conserve water. Financial assistance will be provided to support these efforts, which will improve soil health, optimize grazing, and promote water efficiency. A field day will be hosted to educate producers on effective conservation practices, and success will be evaluated through surveys, groundwater monitoring, and field day participation. The goal is to foster long-term rangeland health, ecosystem resilience, and sustainable land stewardship.</t>
  </si>
  <si>
    <t>Range Land Enhancement for Producers</t>
  </si>
  <si>
    <t>1703 N Garden Ave. Suite A</t>
  </si>
  <si>
    <t>Chaves SWCD will continue to work with Private land owners in the North West part of our district addressing Juniper encroachment which includes soil restoration, water conservation and fire mitigation. Our District, BLM and NRCS alike have worked with producers in this area to combat the extensive Juniper encroachment. Funding utilized toward this project can expand collaborative agency restoration of the landscape, and address wildfire mitigation. The Hagerman Irrigation Canal was destroyed by the 2024 floods leaving a large number of producers without irrigation. Watershed restoration of this canal will allow producers to further provide agriculture crops and supply municipalities.</t>
  </si>
  <si>
    <t>100 Sun Ave NE</t>
  </si>
  <si>
    <t>35.166335</t>
  </si>
  <si>
    <t>-106.586978</t>
  </si>
  <si>
    <t>Ciudad SWCD will implement hazardous fuels reduction cost-share projects along the Bosque forest areas in the vicinity of the communities Rio Rancho, Corrales, and Bernalillo. Hazardous fuel reduction will take place in Bernalillo County and Southern Sandoval County, per a Cooperator Agreement with Coronado SWCD. Ciudad SWCD will assist private and non-federal public landowners to hire local prequalified contractors to thin trees to densities consistent with NMFD Standards. Target vegetation is high-density non-native woody species. This project will reduce wildfire risk and improve watershed health, ensuring that these socio-economic values are protected and constituents are educated on  of forest health.</t>
  </si>
  <si>
    <t>Bosque Cost Share Invasive plant and hazardous fuel reduction</t>
  </si>
  <si>
    <t>100 Sun Avenue, Suite 160</t>
  </si>
  <si>
    <t>This project aims to address the lack of locally adapted seed for soil conservation and habitat restoration through engaging developers and willing landowners in collection agreements and inventorying existing populations of native species in high demand and low supply. In addition, both Ciudad SWCD and Valencia SWCD will plant a portion of the collected wildland seeds through educational programming at Candelaria Nature Preserve and RACA Unit to prevent soil erosion and protect natural resources within their boundaries. Biochar production and goat grazing will further provide educational demonstration of the protection of natural resources.</t>
  </si>
  <si>
    <t>Wildland Seed Harvesting and Installation of Native Plants at Candelaria Nature Preserve and RACA Conservation Area</t>
  </si>
  <si>
    <t>100 Sun Ave Suite 160</t>
  </si>
  <si>
    <t>Ciudad SWCD is requesting funding to further its implementation of a Residential Rainwater Harvesting Installation Program (RRHIP). This program will engage directly with landowners, community members and community partners to install up to 3 residential-scale passive rainwater harvesting features on private property through educational, hands-on workshops. Ciudad SWCD will take the lead on this phase of the RRHIP, but partner engagement in the program will continue through other funding sources. This funding will also directly advance residential rainwater harvesting in neighborhoods that are vulnerable to flooding and urban heat, building of this years program pilot with those communities.</t>
  </si>
  <si>
    <t>Advancing The Residential Rainwater Harvesting Installation Program (RRHIP)</t>
  </si>
  <si>
    <t>Colfax Soil &amp; Water Conservation District</t>
  </si>
  <si>
    <t>245 Park Avenue</t>
  </si>
  <si>
    <t>Suite 206</t>
  </si>
  <si>
    <t>Raton</t>
  </si>
  <si>
    <t>36.9020525</t>
  </si>
  <si>
    <t>-104.4405802</t>
  </si>
  <si>
    <t>To continue with our educational programs such as Arbor Day/Children's Tree Program, AgExplorer Day, Stewardship and produce our quarterly newsletter to our local community.  To sustain our current educational programs and also let us create more educational programs for our local schools.  Outreach to landowners and to the public with conservation planning, and other resources available to them that can help with their projects they seek.  Training, workshops and webinars for further outreach to our community.  Training for our board members and employee to attend annual conferences and workshops that will help our county and district.</t>
  </si>
  <si>
    <t>Colfax SWCD Education, Training and Planning</t>
  </si>
  <si>
    <t>Colfax Soil and Water Conservation District</t>
  </si>
  <si>
    <t>Colfax SWCD will create a current and long term conservation plan. This conservation plan will be created with conservation input from: individual land owners, municipalities, corporations, USDA (FSA &amp; NRCS), and Colfax SWCD board members. The conservation plan will categorize the needs of the district based upon conservation concerns, types, locations, and the types of funding streams that are available for each concern. In short, what concerns do we have, where are they, and which funding option is available to address each one. The finished plan will be utilized to categorize and plan CSWCD projects based upon available funding opportunities.</t>
  </si>
  <si>
    <t>Colfax SWCD Conservation Plan Establishment</t>
  </si>
  <si>
    <t>In 2018 the Ute Park fire burned 36,740 acres of North Eastern New Mexico forest land. Philmont Scout Ranch had 26,000 acres of forest land devastated. This reforestation request is a plan created by Philmont Scout Ranch with the coordination of UNM, NMSU, Highlands U, CSWCD, NM State Forestry and NMDGF. Two units will be replanted with 10,000 ponderosa pine saplings. The first unit and nucleation sites were identified with the help of state forestry Universities and will be planted via staff and scout volunteers. The second unit will be planted with 10,000 saplings by contractors with Philmont  Staff oversight.</t>
  </si>
  <si>
    <t>2018 Ute Park Fire -- Reforestation Project</t>
  </si>
  <si>
    <t>Coronado Soil and Water Conservation District</t>
  </si>
  <si>
    <t>282 S Camino Del Pueblo Room 1-A</t>
  </si>
  <si>
    <t>35.3149283</t>
  </si>
  <si>
    <t>-106.5461576</t>
  </si>
  <si>
    <t>Coronado SWCD proposes a six-month workshop series on sustainable land management. From July to December 2025, monthly workshops will cover topics of water conservation, soil health, and urban agriculture. Our Board brings diverse expertise and leadership experience to the table, and we have secured partnerships with highly relevant subject-matter experts who will enhance our workshop programming through their specialized knowledge and presentations. Project goals are  to educate at least 100 participants, promoting conservation practices such as healthy soil and rangeland management. Evaluation will include pre- and post-workshop surveys and follow-up assessments to measure knowledge gain and practice adoption.</t>
  </si>
  <si>
    <t>Dona Ana Soil and Water Conservation District</t>
  </si>
  <si>
    <t>760 Stern Dr, Ste 118</t>
  </si>
  <si>
    <t>Las Cruces</t>
  </si>
  <si>
    <t>32.285893</t>
  </si>
  <si>
    <t>-106.784772</t>
  </si>
  <si>
    <t>The Dona Ana Soil and Water Conservation District (DASWCD) is seeking funding through the NMDA District Operations Capacity Building Grant to enhance operational efficiency, improve conservation outreach, and expand our ability to implement sustainable land management initiatives. These funds will support essential capacity-building efforts, including staff training, community engagement, technology improvements, and operational infrastructure.  Our project focuses on strengthening district operations to better serve landowners, farmers, and conservation stakeholders in Dona Ana County. The proposed initiatives align with the mission of NMDA and will enhance the district’s ability to promote soil health, water conservation, and sustainable agriculture.</t>
  </si>
  <si>
    <t>DASWCD Administrative Structure Improvement</t>
  </si>
  <si>
    <t>East Torrance Soil &amp; Water Conservation District</t>
  </si>
  <si>
    <t>715 S 5th ST</t>
  </si>
  <si>
    <t>ESTANCIA</t>
  </si>
  <si>
    <t>34.7199766</t>
  </si>
  <si>
    <t>-106.065183</t>
  </si>
  <si>
    <t>In 2024 East Torrance began its shade ball program. With early success we began a process where we acquired a yard and 2 storage units, (roll off containers). This helped our local producers pick up materials here in Estancia instead of going to Portales. With conversations with partner districts it has become necessary that we double our capacity to 4 units. Partner districts have asked if they may pick up the shade balls here in Estancia. We can with the additional capacity. That will allow us to order 2 trucks at the same time.</t>
  </si>
  <si>
    <t>Storage units for shade balls</t>
  </si>
  <si>
    <t>The Guadalupe SWCD will partner with landowners to promote and implement mesquite treatment projects throughout the district to improve grazing opportunities, property values, and ease the difficulty of livestock handling. The goal is to use drones to apply herbicide to control mesquite growth in a targeted and efficient manner. Drone treatment of mesquite trees is an emerging method used for controlling and managing mesquite populations, especially in areas where these trees have become invasive. With the treatment and reduction of invasive shrub densities, landowners will witness the re-establishment of native grasses and forms that will result in healthier, productive rangelands.</t>
  </si>
  <si>
    <t>The Pintada Arroyo Watershed encompasses 658,727 acres, extends through Guadalupe, San Miguel, and Torrance counties, and lies within the Pecos River portion of the Great Plains Province. The purpose of the Pintada Arroyo Watershed Sedimentation Project is to minimize the disturbance and damage of sediment movement and flood waters throughout the Pintada watershed through a multi-phased plan, design, and implementation approach. The requested funding from the Land of Enchantment Legacy Grant Fund is to continue the implementation portion of the Pintada Project and will contribute to the success of the overall landscape project.</t>
  </si>
  <si>
    <t>Hagerman-Dexter Soil &amp; Water Conservation District</t>
  </si>
  <si>
    <t>111 N. Oxford</t>
  </si>
  <si>
    <t>Hagerman</t>
  </si>
  <si>
    <t>33.1150187</t>
  </si>
  <si>
    <t>-104.3273232</t>
  </si>
  <si>
    <t>This project aims to assist in the rebuilding of the Hagerman Canal, an integral irrigation system that was catastrophically damaged during a flood in October of 2024 in Chaves County, NM. Alongside partners such as the Hagerman Irrigation Company, Chaves County Flood Control, Chaves SWCD, and FEMA, contractors will be hired to repair damaged sections of the canal. Restoration of water delivery will aid area farms and ranches in irrigating crops that help support the local economy. Restoration of the Canal itself will aid local communities in restoring flood diversion for future events.</t>
  </si>
  <si>
    <t>Hidalgo Soil &amp; Water Conservation District</t>
  </si>
  <si>
    <t>405 Duncan Hwy</t>
  </si>
  <si>
    <t>Lordsburg</t>
  </si>
  <si>
    <t>32.355099</t>
  </si>
  <si>
    <t>-108.709373</t>
  </si>
  <si>
    <t>The Hidalgo SWCD Land Use Plan, developed and adopted on March 20, 2018, is an executable policy for natural resource management and land use on the lands within the District. Since 2018, national policies established by federal law, focus on national interests, rather than local interests. The HSWCD Land Use Plan would like to update their plan in order to address or expand on things such climate issues, clean energy, monument designations, etc., to further protect citizens within the District. Hidalgo County will collaborate with us in order to ensure their Resource Management Plan includes our addressed issues.</t>
  </si>
  <si>
    <t>McKinley Soil and Water Conservation District</t>
  </si>
  <si>
    <t>2330 Historic US Highway 66</t>
  </si>
  <si>
    <t>Gallup</t>
  </si>
  <si>
    <t>35.5290669</t>
  </si>
  <si>
    <t>-108.7079977</t>
  </si>
  <si>
    <t>The McKinley Soil and Water Conservation District Resource Series is an outreach event designed to provide opportunities for collaboration and information gathering amongst district residents to enhance the health and productivity of the land in McKinley and Cibola Counties.  The event will provide venues for landowners, producers, and resource professionals to exchange information on program opportunities, financial assistance, and technical expertise to improve soil health and enhance water conservation in the district.  Outreach materials will be created to monitor and evaluate programming and develop viable pathways to strengthen partnerships and build resilience within the agricultural community of Northwest New Mexico.</t>
  </si>
  <si>
    <t>The McKinley Soil and Water Conservation District Resource Series</t>
  </si>
  <si>
    <t>The McKinley Soil and Water Conservation District Program Enhancement Project (Project) will build capacity to advance implementation efforts of priority programs to improve soil health, enhance water conservation, and build resilience within the agricultural community of McKinley and Cibola Counties.  The Project consists of a coalition of regional stakeholders comprised of the McKinley Soil and Water Conservation District and the Northwest New Mexico Council of Governments.  Together, these regional partners will develop an Infrastructure Capital Improvement Plan, create an Action Plan for project mobilization, and conduct grant writing for funding acquisition to support program implementation within the District.</t>
  </si>
  <si>
    <t>The McKinley Soil and Water Conservation District Program Enhancement Project</t>
  </si>
  <si>
    <t>Mesa and Ute Creek Soil and Water Conservation District</t>
  </si>
  <si>
    <t>411 Chicosa Street</t>
  </si>
  <si>
    <t>Roy</t>
  </si>
  <si>
    <t>35.9449462</t>
  </si>
  <si>
    <t>-104.1961399</t>
  </si>
  <si>
    <t>The Mesa and Ute Creek SWCD's will work with Zeigler Geologic Consultants to host a one-day Groundwater Monitoring Workshop for the producers in their districts.  The workshop will include an educational and hands-on aspect to educate producers on the importance of their most valuable asset, ground water.</t>
  </si>
  <si>
    <t>Mesa Soil and Water Conservation District</t>
  </si>
  <si>
    <t>The Mesa SWCD is striving to provide a binding policy for landowners to use to help protect their rights and land use.  After researching if the district has a Land Use Plan, it was determined that there is not one in place, and we would like to provide that for producers in our district.</t>
  </si>
  <si>
    <t>Mesa SWCD Land Use Plan</t>
  </si>
  <si>
    <t>Otero Soil and Water Conservation District</t>
  </si>
  <si>
    <t>3501 Mesa Village Dr</t>
  </si>
  <si>
    <t>Alamogordo</t>
  </si>
  <si>
    <t>32.9341458</t>
  </si>
  <si>
    <t>-105.9742869</t>
  </si>
  <si>
    <t>Objectives:  Priority watershed restoration that reduces uncharacteristic wildfire risk as measured by acreage thinned and fuels reduced. Reduced risk of severe wildfires to infrastructure, including the communities of Sacramento, NM and Weed, NM and unincorporated lands.  Enhance landowner education and outreach while conducting site visits. Promote collaborative growth between private landowners, non-governmental organization (NGOs), and NMFD.  Justification:  The Sacramento Mountains have a history of aggressive fire suppression resulting in uncharacteristically dense forests and increased risk of severe wildfires. . Limited resource landowners sometimes struggle to afford NMFD standard match costs for fuels reduction treatments.  This project addresses both issues.</t>
  </si>
  <si>
    <t>Perk Canyon/McDonald Landscape Scale Restoration Project</t>
  </si>
  <si>
    <t>050 New Mexico Highway 467, Portales NM  88130</t>
  </si>
  <si>
    <t>The Conservation Districts (Roosevelt, Border, and Central Curry) will work with KENW-FM to educate and inform the residents of New Mexico about everything agricultural, including the purpose, resources, and programs available from local Conversation Districts.  The objectives will be achieved through a collaboration with the KENW Broadcast Center by securing content, producing, recording, editing, and airing two- to five-minute “All About Ag” radio segments to be aired on the KENW Public Radio Network.</t>
  </si>
  <si>
    <t>Santa Fe-Pojoaque Soil and Water Conservation District</t>
  </si>
  <si>
    <t>4001 Office Ct. Drive, Suite 1001</t>
  </si>
  <si>
    <t>35.6323555</t>
  </si>
  <si>
    <t>-106.0153173</t>
  </si>
  <si>
    <t>This project will restore approximately 2600 linear ft. of steep, severely eroding unauthorized off-highway-vehicle (OHV) trails typically 10+ ft. wide at 20 locations on the embankments of Santa Cruz Flood Control Dams 2G, 3A, and 4, Chimayo, Rio Arriba Co. De-compacting and filling-in of rills and gullies using a mixture of different particle sizes of gravel and soil, smoothing, applying compost, seeding, hydro-mulching, crimp mulching, erosion blankets will be used where appropriate and feasible to accomplish the project. Stakeholders include all downstream residents and businesses in the Rio Santa Cruz Corridor. Partners are identified in project justification-partners question below.</t>
  </si>
  <si>
    <t>Restoration of Eroding OHV Trails on Three Flood Control Dams' Embankments in Rio Arriba Co., NM.</t>
  </si>
  <si>
    <t>Sierra Soil and Water Conservation District</t>
  </si>
  <si>
    <t>2101 S. Broadway</t>
  </si>
  <si>
    <t>Truth Or Consequences</t>
  </si>
  <si>
    <t>33.122361</t>
  </si>
  <si>
    <t>-107.276202</t>
  </si>
  <si>
    <t>The Sierra Soil and Water Conservation District, in partnership with the U.S. Forest Service-Black Range District, are spearheading a vital vegetation management project within the Black Fire footprint. The project includes thinning and mastication of 65 acres in critical areas along highway 59 through the Poverty Creek residential area. The goal is to decrease hazardous fuel load and increase visibility for the residents and public traveling within the area. This project also benefits area wildlife, who are frequently hit and killed due to overgrown areas hindering visibility. Evaluation may include post project fire activity monitoring and tracking of accident frequency.</t>
  </si>
  <si>
    <t>103 Francisco de Avondo</t>
  </si>
  <si>
    <t>34.0714309</t>
  </si>
  <si>
    <t>-106.894319</t>
  </si>
  <si>
    <t>The Swearingens own 240 acres on Socorro County Rd 153, which contains an earthen dam that was constructed 80-100 years ago by the CCC to prevent water flowing across the railroad tracks.  The railroad is gone, and the road is now used heavily, for the Fite Ranch Bed &amp; Breakfast, and for the hunters who access the area to the South, which can be up to 80 per day during hunting season.  We intend to use funds to repair the dam using the 10 feet of sediment it contains, and remove the existing salt cedar infestation of approximately 5 acres.</t>
  </si>
  <si>
    <t>Swearingen Earthen Dam Rehabilitation</t>
  </si>
  <si>
    <t>In FY 2025, we received a LOE Legacy Grant for $68,179 to perform restoration projects at the Socorro Nature Area, Socorro County's premier public nature park and education area.  We have planted over 400 native trees, 175 native shrubs, and 400 pounds of native grass seed on the property.  The purpose of this application is to secure funding to rehabilitate the well on the property, which is necessary to provide adequate water to our plantings, and to maintain the large pond that the BLM has installed at the property.  The BLM has lost planned funding for this project.</t>
  </si>
  <si>
    <t>Socorro Nature Area Restoration Phase 2</t>
  </si>
  <si>
    <t>Southwest Quay SWCD</t>
  </si>
  <si>
    <t>This grant proposal seeks funding to create and distribute educational coloring books focused on soil, water conservation, and agricultural practices for children. The books will introduce young learners to key topics like watershed health, erosion control, sustainable farming, and land management, using fun, engaging illustrations and activities. By partnering with local Soil and Water Conservation Districts (SWCDs), schools, and community organizations, the project aims to make these resources widely accessible. The goal is to foster environmental and agricultural stewardship in future generations, helping children understand the importance of conserving natural resources and supporting sustainable agriculture.</t>
  </si>
  <si>
    <t>SWt Quay SWCD Educational Coloring Books</t>
  </si>
  <si>
    <t>The Southwest Quay SWCD aims to enhance rangeland quality and sustainability through various conservation practices. These include conventional and virtual fencing, subsoiling and seeding, brush control, water distribution, and the use of shade balls to conserve water. Financial assistance will be provided to support these efforts, which will improve soil health, optimize grazing, and promote water efficiency. A field day will be hosted to educate producers on effective conservation practices, and success will be evaluated through surveys, groundwater monitoring, and field day participation. The goal is to foster long-term rangeland health, ecosystem resilience, and sustainable land stewardship.</t>
  </si>
  <si>
    <t>220 Chamisa RD</t>
  </si>
  <si>
    <t>Taos SWCD will sponsor high school teams in Taos County to participate in the NM Envirothon state competition, promoting hands-on learning in environmental science and natural resource management. This project also includes purchasing educational materials, conducting outreach with local high schools and middle schools, and providing resources for NACD Soil Stewardship Week. By combining classroom education with experiential learning opportunities like Envirothon, this initiative aims to inspire youth engagement, enhance environmental awareness, and foster a deeper understanding of soil and water conservation throughout the community.</t>
  </si>
  <si>
    <t>Taos SWCD Education and Outreach</t>
  </si>
  <si>
    <t>The project will conduct a landscape-scale thinning initiative in Taos County, NM, addressing extreme stand densities and increased fuel loading. Considering the devastating HPCC fire of 2022, it is essential that fuels be addressed. Taos SWCD collaborates with local communities, neighborhoods, and private landowners to implement forest health projects (thinning, fuel treatment, native grass reseeding). Stakeholders include Taos SWCD, local communities, landowners, and partner organizations. Methods involve collaborative planning, thinning, and post-treatment monitoring. Evaluation assesses fire risk reduction, forest health, and community resilience. This initiative fosters long-term landscape-wide benefits, providing tangible solutions for fire mitigation and ecosystem resilience.</t>
  </si>
  <si>
    <t>I started with Upper Hondo SWCD in February 2025. I am looking forward to growing our program with education and outreach. Iam still learning about things that we can utilize and benefit from when working with our communtiy. One of the needs I have identified is a computer we can use while away from our desktop computers.  This is why we are requesting a laptop for use when meeting with Landowners as well as with community outreach projects.</t>
  </si>
  <si>
    <t>Laptop for Community Outreach and Education</t>
  </si>
  <si>
    <t>Ute Creek</t>
  </si>
  <si>
    <t>411 Chico St.</t>
  </si>
  <si>
    <t>35.9447082</t>
  </si>
  <si>
    <t>-104.191228</t>
  </si>
  <si>
    <t>The Ute Creek SWCD currently has a number of natural resource concerns identified but do not at this point have the ability to write and secure grant funds to address those concerns.  This proposal will be to hire a grant writer to develop and submit at least six grant proposals.  These proposals would be submitted to applicable federal, state and private funding sources with the anticipated result of securing some of those grants.  The grant writer would also help initially administer those grants and would train our administrative staff in the grant writing process, administration, and documentation.</t>
  </si>
  <si>
    <t>Ute Creek Grant Writer Capacity Building Project</t>
  </si>
  <si>
    <t>applicant provided</t>
  </si>
  <si>
    <t>applicant provided as section township range</t>
  </si>
  <si>
    <t>applicant provided as DMS coordinates</t>
  </si>
  <si>
    <t>Mesa SWCD</t>
  </si>
  <si>
    <t>Colfax SWCD</t>
  </si>
  <si>
    <t>NM Wilderness Alliance-GILA</t>
  </si>
  <si>
    <t>Otero SWCD</t>
  </si>
  <si>
    <t>Santa Clara Pueblo</t>
  </si>
  <si>
    <t>NMSU ACES</t>
  </si>
  <si>
    <t>Cuba SWCD</t>
  </si>
  <si>
    <t>City of Belen</t>
  </si>
  <si>
    <t>Carlsbad SWCD</t>
  </si>
  <si>
    <t>Taos Land Trust</t>
  </si>
  <si>
    <t>Ancestral Lands Conservation Corps</t>
  </si>
  <si>
    <t>Title (FY26 NMDA's Noxious Weed Management Grant)</t>
  </si>
  <si>
    <t>This application is being submitted on behalf of a... (FY26 NMDA's Noxious Weed Management Grant)</t>
  </si>
  <si>
    <t>What entity will serve as administrative and fiscal agent for the Cooperative Weed Management Area for the administration of this grant? (FY26 NMDA's Noxious Weed Management Grant)</t>
  </si>
  <si>
    <t>Enter your organization's Employer Identification Number (EIN): Organization Name (FY26 NMDA's Noxious Weed Management Grant)</t>
  </si>
  <si>
    <t>What is the name of the organization or entity submitting this application?  (FY26 NMDA's Noxious Weed Management Grant)</t>
  </si>
  <si>
    <t>What is the physical address of your organization or entity? (FY26 NMDA's Noxious Weed Management Grant)</t>
  </si>
  <si>
    <t>Provide your Project Title (FY26 NMDA's Noxious Weed Management Grant)</t>
  </si>
  <si>
    <t>Provide a very brief 1-2 sentence Project Summary (FY26 NMDA's Noxious Weed Management Grant)</t>
  </si>
  <si>
    <t>Nonprofit or other Non-Governmental Organization with proven land management capacity</t>
  </si>
  <si>
    <t>(blank)</t>
  </si>
  <si>
    <t>Conservation Legacy</t>
  </si>
  <si>
    <t>Ancestral Lands Conservation Corps, a program of Conservation Legacy</t>
  </si>
  <si>
    <t>7851 C 2nd St SW, Albuquerque, NM 87105</t>
  </si>
  <si>
    <t>Tribal Riparian and Forestry Restoration of the Bosque</t>
  </si>
  <si>
    <t>Ancestral Lands Conservation Corps will partner with the Pueblo of Sandia to address critical conservation needs along the Bosque, treating priority invasive woody species that have severe negative impacts on the health of the Rio Grande and its surrounding forest.</t>
  </si>
  <si>
    <t>3219 S Canal St. Carlsbad, NM 88220</t>
  </si>
  <si>
    <t>African Rue Mapping &amp; Management Project</t>
  </si>
  <si>
    <t>This project aims to improve the mapping and the treatment efficiency of African rue. Our goals for the project are to collect data on infestations, adjust treatment timing, increase treatment efficiency, measure results, and share management resources with our partners.</t>
  </si>
  <si>
    <t>918 Parkland Dr Clovis NM 88101</t>
  </si>
  <si>
    <t>Sustainable Noxious Weed Management for Enhanced Agricultural Productivity</t>
  </si>
  <si>
    <t>This project focuses on controlling noxious weeds on agricultural land using either mechanical or chemical treatments. By collaborating with producers, we aim to reduce weed populations, improve land productivity, and provide sustainable land management solutions.</t>
  </si>
  <si>
    <t>1703 N Garden Ave. Suite A. Roswell, NM 88201</t>
  </si>
  <si>
    <t>Chaves SWCD Salt Cedar Initiative and Noxious Weed Control</t>
  </si>
  <si>
    <t>Salt Cedar has infested riparian habitats and is spreading across our waterways, drainages and native grasslands. This initiative will build off previous salt cedar eradication efforts and include monitoring efforts and outreach with public/ stakeholders to collectively address the issue.</t>
  </si>
  <si>
    <t>Other Local Government, Special District, or other Political Subdivision of State Government</t>
  </si>
  <si>
    <t>100 S. Main St. Belen, NM 87002</t>
  </si>
  <si>
    <t>Belen Noxious Weed Management</t>
  </si>
  <si>
    <t>Roadrunner Public Health will provide public health noxious weed vegetation services for pre and post emergent treatment to clear weeds and reduce mosquito harborage targeting both Winter and Summer weeds on City property and right of way.</t>
  </si>
  <si>
    <t>Another entity not listed here, but with proven land management capacity</t>
  </si>
  <si>
    <t>Coddington Twin Springs Ranch</t>
  </si>
  <si>
    <t>4156 Forest Service Road 50, Ramah, NM 87005</t>
  </si>
  <si>
    <t>Comprehensive Thistle Management Initiative at The Coddington Twin Springs Ranch</t>
  </si>
  <si>
    <t>We seek support to manage invasive thistles impacting our grasslands through mechanical, chemical, and manual treatments, while also engaging neighboring landowners—many of whom are elderly or infirm—in outreach and education to promote long-term, community-based weed management.</t>
  </si>
  <si>
    <t>Colfax Soil And Water Conservation District</t>
  </si>
  <si>
    <t>245 Park Ave. Ste. 206 Raton, NM 87740</t>
  </si>
  <si>
    <t>Black Lake Invasive Thistle Mapping and Treatment</t>
  </si>
  <si>
    <t>Colfax SWCD proposes mapping and treatment of noxious thistle across 450 acres near Black Lake, NM. Rocky Mountain Ecology (RME) would implement project activities and has successfully teamed with both the NMSLO and CSWCD in the past.</t>
  </si>
  <si>
    <t>P.O. Box 245 Raton, NM 87747</t>
  </si>
  <si>
    <t>Colfax county / Springer community ditches and Lazy S ranch land -- Integrated Weed  Management (on the ground treatments)</t>
  </si>
  <si>
    <t>Integrated weed management along Springer community ditch system--approximately 97.23 acres Integrated weed management within Lazy S ranch (northern Colfax county)--40 acres</t>
  </si>
  <si>
    <t>Cuba Soil and Water Conservation District</t>
  </si>
  <si>
    <t>109 County Road 11 Cuba, New Mexico 87013</t>
  </si>
  <si>
    <t>Cuba SWCD Noxious Weeds</t>
  </si>
  <si>
    <t>We will use funding to hire contractors for spraying, covering landowner costs for up to 100 acres, instead of employing one person. This approach maximizes efficiency and impact. Targeted noxious weeds are hoary cress, Russian knapweed, thistle, and others.</t>
  </si>
  <si>
    <t>Cooperative Weed Management Area</t>
  </si>
  <si>
    <t>Border Soil &amp; Water Conservation District</t>
  </si>
  <si>
    <t>High Plains Cooperative Weed Management Area</t>
  </si>
  <si>
    <t>704 State St. Elida, NM  88116</t>
  </si>
  <si>
    <t>Partnering for Noxious Weed Management</t>
  </si>
  <si>
    <t>All 5 selected activities will be incorporated and all weed classes will be addressed with a focus on African Rue.  Our current Integrated Weed Management project will move forward by leveraging partnerships, developing capacity and expanding education.</t>
  </si>
  <si>
    <t>Mesa Soil &amp; Water Conservation District</t>
  </si>
  <si>
    <t>411 Chicosa Street, Roy, NM 87743</t>
  </si>
  <si>
    <t>Mesa SWCD Noxious Weed Treatment</t>
  </si>
  <si>
    <t>Hand treatment by cut stump method of Siberian Elm and chemical treatment of Saltcedar on the Canadian River. This project is an ongoing effort to restore the Canadian River watershed partnering with landowners, state and federal Agencies and 8 Districts.</t>
  </si>
  <si>
    <t>Land Grant-Merced</t>
  </si>
  <si>
    <t>New Mexico State University</t>
  </si>
  <si>
    <t>Integration of biological control beetles and mowing for improved tamarisk (saltcedar) management.</t>
  </si>
  <si>
    <t>We propose integrating use of mowing and existing biological control agents (tamarisk leaf beetles) to reduce populations of tamarisk (saltcedar) at Caballo Reservoir. Green leaf volatiles (GLV) will be used to improve tamarisk leaf beetle efficacy.</t>
  </si>
  <si>
    <t>NEW MEXICO WILDERNESS ALLIANCE</t>
  </si>
  <si>
    <t>New Mexico Wilderness Alliance (New Mexico Wild)</t>
  </si>
  <si>
    <t>6000 Uptown Blvd NE, Ste. 350, Albuquerque, NM 87110</t>
  </si>
  <si>
    <t>Gila Wilderness- Invasive Species Field Team</t>
  </si>
  <si>
    <t>New Mexico Wild will expand a current project that uses previously mapped infestations to target noxious weeds on the Gila NF for physical removal. We’ll expand the project’s current footprint and increase efficacy of previous treatments with monitoring and re-treatments.</t>
  </si>
  <si>
    <t>3501 Mesa Village Drive, Alamogordo, NM  88310</t>
  </si>
  <si>
    <t>Precision Ag Mapping of African Rue</t>
  </si>
  <si>
    <t>Otero SWCD has added drone mapping to our noxious weed management program.  Additional funding is required to adequately map the African Rue populations within Otero County.</t>
  </si>
  <si>
    <t>San Luis Cabezon Mutual Domesti Water Association</t>
  </si>
  <si>
    <t>900 HWY 313- Bernalillo NM 87004</t>
  </si>
  <si>
    <t>Noxious Weed Management along the RIo Puerco</t>
  </si>
  <si>
    <t>Grazing: Can be used with some species to reduce seed production, but often needs to be combined with other methods Mulching: Creates a barrier to weed growth, preventing seeds from germinating</t>
  </si>
  <si>
    <t>Santa Clara Pueblo Forestry</t>
  </si>
  <si>
    <t>578 Kee Street Espanola, NM 87532</t>
  </si>
  <si>
    <t>Santa Clara Pueblo Invasive Plant Species Management</t>
  </si>
  <si>
    <t>The project proposes to do a variety of invasive species planning, prevention, and  implementation activities on Santa Clara Pueblo lands in conjunction with our newly developed Santa Clara Pueblo  Invasive Species Management Plan.</t>
  </si>
  <si>
    <t>1304 CR AB Melrose NM 88124</t>
  </si>
  <si>
    <t>410 La Posta Road Taos, NM 87571</t>
  </si>
  <si>
    <t>Rio Fernando Park and Vigil y Romo Acequia Invasive Species Mitigation Phase 2</t>
  </si>
  <si>
    <t>Building on information from phase 1 of mapping, treatment, and pre/post assessments, we prioritize physical and cultural treatments and conduct additional public workshops on the threat of noxious weeds to productive lands, while leveraging other funds to re-establish  soil health.</t>
  </si>
  <si>
    <t>220 Chamisa Rd Taos, NM 87571</t>
  </si>
  <si>
    <t>Mechanical Removal and Follow Up Treatment for Russian Olives In Taos County</t>
  </si>
  <si>
    <t>This project will focus on mechanical removal of Russian Olive trees on Taos County private agricultural land and follow up treatments to address tree resprouting.</t>
  </si>
  <si>
    <t>267 Main Road Capitan, NM 88316</t>
  </si>
  <si>
    <t>Community Walk Path Noxious Weed Project</t>
  </si>
  <si>
    <t>Community walk path needs bi-annual chemical treatment for noxious and invasive weeds. This area is well used by the community as well as students. We are in need of an ATV boom sprayer and chemical to effectively treat this area.</t>
  </si>
  <si>
    <t xml:space="preserve"> 945 College Ave Las Cruces, NM 88003</t>
  </si>
  <si>
    <t>Salt Cedar Initiative and Noxious Weed Contol</t>
  </si>
  <si>
    <t>Colfax county / Springer community ditches and Lazy S ranch land -- Integrated Weed Management (on the ground treatments)</t>
  </si>
  <si>
    <t>Noxious Weed Treatment</t>
  </si>
  <si>
    <t>Integration of biological control beetles and mowing for improved tamarisk (salt-cedar) management.</t>
  </si>
  <si>
    <t>Noxious Weed Management Grant</t>
  </si>
  <si>
    <t>2 adjacent addresses- chose point in middle</t>
  </si>
  <si>
    <t>used coordinates from above</t>
  </si>
  <si>
    <t>used coordinates from HSP</t>
  </si>
  <si>
    <t>405 Duncan Hwy  Lordsburg NM US</t>
  </si>
  <si>
    <t>1304 CR AB  Melrose NM US</t>
  </si>
  <si>
    <t>586 S Ninth St  Santa Rosa New Mexico US</t>
  </si>
  <si>
    <t>220 Chamisa RD  Taos New Mexico US</t>
  </si>
  <si>
    <t>3000 HWY 187  Salem NM US</t>
  </si>
  <si>
    <t>111 N. Oxford  Hagerman New Mexico US</t>
  </si>
  <si>
    <t>2330 Historic US Highway 66  Gallup New Mexico US</t>
  </si>
  <si>
    <t>411 Chicosa Street  Roy NM US</t>
  </si>
  <si>
    <t>4001 Office Ct. Drive, Suite 1001  Santa Fe New Mexico US</t>
  </si>
  <si>
    <t>2101 S. Broadway  Truth Or Consequences New Mexico US</t>
  </si>
  <si>
    <t>050 New Mexico Highway 467, Portales NM  88130  Portales NM US</t>
  </si>
  <si>
    <t>100 Sun Ave Suite 160  Albuquerque NM US</t>
  </si>
  <si>
    <t>1703 N Garden Ave. Suite A  Roswell New Mexico US</t>
  </si>
  <si>
    <t>704 State St.  Elida NM US</t>
  </si>
  <si>
    <t>282 S Camino Del Pueblo Room 1-A  Bernalillo New Mexico US</t>
  </si>
  <si>
    <t>4001 Office Court Drive, Suite 1001 Santa Fe NM 87507</t>
  </si>
  <si>
    <t>586 S Ninth St Santa Rosa New Mexico 88435</t>
  </si>
  <si>
    <t>918 Parkland Dr. Clovis NM 88101</t>
  </si>
  <si>
    <t>050 New Mexico Highway 467 Portales NM 88130</t>
  </si>
  <si>
    <t>3229 Rodeo Rd Santa Fe, NM New Mexico 87507</t>
  </si>
  <si>
    <t>1703 N Garden Ave Suite A Roswell New Mexico 88201</t>
  </si>
  <si>
    <t>255 Cochiti St Cochiti Pueblo NM 87072</t>
  </si>
  <si>
    <t>19283 US Highway 84/285 Suite 112 Hernandez NM 87537</t>
  </si>
  <si>
    <t>220 Chamisa Rd Taos NM 87571</t>
  </si>
  <si>
    <t>PO Drawer 1318 Farmington NM 87499</t>
  </si>
  <si>
    <t>Various Las Cruces, Chaparral, Vado and Mesquite NM 88081</t>
  </si>
  <si>
    <t>applicant prodvided arbitrary midpoint</t>
  </si>
  <si>
    <t>corrected coordinates</t>
  </si>
  <si>
    <t>close enough</t>
  </si>
  <si>
    <t>Chaves, Roosevelt</t>
  </si>
  <si>
    <t>Eddy</t>
  </si>
  <si>
    <t>Nonprofit</t>
  </si>
  <si>
    <t>University or College</t>
  </si>
  <si>
    <t>Other Local Government</t>
  </si>
  <si>
    <t>Sandoval, Rio Arriba</t>
  </si>
  <si>
    <t>Harding, San Miguel</t>
  </si>
  <si>
    <t>Catron</t>
  </si>
  <si>
    <t>McKinley</t>
  </si>
  <si>
    <t>Sierra, Doña Ana</t>
  </si>
  <si>
    <t>Santa Clara Pueblo Forestry Department</t>
  </si>
  <si>
    <t>Rocky Mountain Youth Corps</t>
  </si>
  <si>
    <t>National Forest Foundation</t>
  </si>
  <si>
    <t>Pueblo of Sandia</t>
  </si>
  <si>
    <t>Ute Creek SWCD</t>
  </si>
  <si>
    <t>County of Otero, New Mexico</t>
  </si>
  <si>
    <t>NMDA Noxious Weed Management Program</t>
  </si>
  <si>
    <t>Musk Thistle Control and Prevention in La Jara Canyon (NM)</t>
  </si>
  <si>
    <t>FY2026 Noxious Plants Application</t>
  </si>
  <si>
    <t>Jemez Ranger District Invasive Species Management Project</t>
  </si>
  <si>
    <t>Sandia - Ancestral Lands Partnership to Treat Non-Native Phreatophytes in the Pueblo's Bosque</t>
  </si>
  <si>
    <t>Algodones Noxious Weed Suppression and Habitat Restoration Project</t>
  </si>
  <si>
    <t>Ute Creek SWCD 2026 Noxious Weed Treatment Canadian River Watershed</t>
  </si>
  <si>
    <t>Mesa SWCD Noxious Weed Control Canadian River Watershed</t>
  </si>
  <si>
    <t>Drone Mapping of Noxious Weeds</t>
  </si>
  <si>
    <t>Strategic Mapping of Noxious Weeds Across 1,000 Priority Acres in Otero County</t>
  </si>
  <si>
    <t>Luna</t>
  </si>
  <si>
    <t>Goal is to treat African Rue, Malta Starthistle, Russian Knapweed, and Saltcedar on private and public lands where there is a greater infestation.  We intend to use a contracted licensed knowledgeable professional to meet our goals.</t>
  </si>
  <si>
    <t>The project proposes to do a variety of invasive species planning, prevention, and implementation activities on Santa Clara Pueblo lands in conjunction with our newly developed Santa Clara Pueblo Invasive Plant Species Management Plan.</t>
  </si>
  <si>
    <t>Remove and control musk thistle (Carduus nutans) along Forest Road 5 in La Jara Canyon through hand-pulling and deadheading to prevent seed spread into the Rio Fernando headwaters, protecting downstream wetlands, native vegetation, and water quality in Taos Valley.</t>
  </si>
  <si>
    <t>The primary focus of this project is to develop an Integrated Invasive Plant Control Program to contain and control infestations of Halogeton and other noxious weeds in the area and to limit infestation.</t>
  </si>
  <si>
    <t>The National Forest Foundation (NFF) with the Sante Fe National Forest (SFNF) will conduct the Jemez Ranger District Invasive Species Management Project (project) to survey and treat infestations of Bull Thistle, Oxeye Daisy, and Spotted Knapweed.</t>
  </si>
  <si>
    <t>The Pueblo of Sandia with have crews of Ancestral Lands Conservation Corps treat non-native phreatophytes including Siberian elm, Russian olive, and some salt cedar and tree of heaven in the 38 acres of the Pueblo's Bosque.</t>
  </si>
  <si>
    <t>Coronado SWCD will coordinate mechanical removal of invasive Siberian elm and Tree-of-Heaven on private parcels in Algodones to restore soil health and native vegetation. A separate NMDA application covers similar post-storm restoration work in Peña Blanca.</t>
  </si>
  <si>
    <t>Hand treatment by cut stump method of Siberian Elm and chemical treatment of Saltcedar on the Canadian River. This project is an ongoing effort between 8 SWCD's to restore the Canadian River watershed partnering with landowners, NMSLO and USFS.</t>
  </si>
  <si>
    <t>Otero SWCD is expanding the drone mapping program to aid in the development of projects for treatment.  Spatial mapping is required to be eligible for funding.</t>
  </si>
  <si>
    <t>Otero County will conduct spatial surveys and GIS-based mapping of noxious weeds across 1,000 priority acres, providing critical baseline data to guide future integrated weed management strategies across public and private lands.</t>
  </si>
  <si>
    <t>405 E. Florida Street, Suite B, Deming, NM  88030</t>
  </si>
  <si>
    <t>411 Chicosa Street Roy, NM 87743</t>
  </si>
  <si>
    <t>578 Kee Street Espanola, N.M. 87532</t>
  </si>
  <si>
    <t>1960 King Drive, Taos, NM 87571</t>
  </si>
  <si>
    <t>301 McWilliams Road Aztec, NM 87410</t>
  </si>
  <si>
    <t>27 Fort Missoula Rd. Ste 3 Missoula, MT 59804-7212</t>
  </si>
  <si>
    <t>282 Camino Del Pueblo Ste 1A Bernalillo, NM 87004</t>
  </si>
  <si>
    <t>1101 New York Ave. Alamogordo, NM 88310-6935</t>
  </si>
  <si>
    <t>481 Sandia Loop Bernalillo NM 87004</t>
  </si>
  <si>
    <t>32.90093116792113</t>
  </si>
  <si>
    <t>-105.95940627248883</t>
  </si>
  <si>
    <t>32.25447575350318</t>
  </si>
  <si>
    <t>-107.75273779938637</t>
  </si>
  <si>
    <t>extracted from address</t>
  </si>
  <si>
    <t>35.9449108111336</t>
  </si>
  <si>
    <t>-104.19622571363729</t>
  </si>
  <si>
    <t>35.78773374820395</t>
  </si>
  <si>
    <t>-106.6866968341651</t>
  </si>
  <si>
    <t>Used Jemez Ranger Station</t>
  </si>
  <si>
    <t>Used Address above</t>
  </si>
  <si>
    <t>35.254922871524734</t>
  </si>
  <si>
    <t>-106.57305468917754</t>
  </si>
  <si>
    <t>36.38274926634207</t>
  </si>
  <si>
    <t>-105.59776876476087</t>
  </si>
  <si>
    <t>-108.0180012962401</t>
  </si>
  <si>
    <t>36.83648267268679</t>
  </si>
  <si>
    <t>35.944905863673505</t>
  </si>
  <si>
    <t>-104.1962370019918</t>
  </si>
  <si>
    <t>DOG-FY26-036</t>
  </si>
  <si>
    <t>DOG-FY26-012</t>
  </si>
  <si>
    <t>DOG-FY26-033</t>
  </si>
  <si>
    <t>DOG-FY26-031</t>
  </si>
  <si>
    <t>DOG-FY26-038</t>
  </si>
  <si>
    <t>DOG-FY26-008</t>
  </si>
  <si>
    <t>DOG-FY26-029</t>
  </si>
  <si>
    <t>DOG-FY26-015</t>
  </si>
  <si>
    <t>DOG-FY26-002</t>
  </si>
  <si>
    <t>DOG-FY26-016</t>
  </si>
  <si>
    <t>DOG-FY26-028</t>
  </si>
  <si>
    <t>DOG-FY26-019</t>
  </si>
  <si>
    <t>DOG-FY26-026</t>
  </si>
  <si>
    <t>DOG-FY26-020</t>
  </si>
  <si>
    <t>DOG-FY26-022</t>
  </si>
  <si>
    <t>DOG-FY26-007</t>
  </si>
  <si>
    <t>DOG-FY26-011</t>
  </si>
  <si>
    <t>HSPEE-FY26-005</t>
  </si>
  <si>
    <t>HSPEE-FY26-008</t>
  </si>
  <si>
    <t>HSPEE-FY26-023</t>
  </si>
  <si>
    <t>HSPEE-FY26-015</t>
  </si>
  <si>
    <t>HSPEE-FY26-003</t>
  </si>
  <si>
    <t>HSPEE-FY26-010</t>
  </si>
  <si>
    <t>HSPEE-FY26-022</t>
  </si>
  <si>
    <t>HSPEE-FY26-007</t>
  </si>
  <si>
    <t>HSPEE-FY26-011</t>
  </si>
  <si>
    <t>HSPEE-FY26-006</t>
  </si>
  <si>
    <t>HSPEE-FY26-001</t>
  </si>
  <si>
    <t>HSPEE-FY26-002</t>
  </si>
  <si>
    <t>HSPEE-FY26-019</t>
  </si>
  <si>
    <t>HSPIA-FY26-019</t>
  </si>
  <si>
    <t>HSPIA-FY26-030</t>
  </si>
  <si>
    <t>HSPIA-FY26-006</t>
  </si>
  <si>
    <t>HSPIA-FY26-017</t>
  </si>
  <si>
    <t>HSPIA-FY26-074</t>
  </si>
  <si>
    <t>HSPIA-FY26-018</t>
  </si>
  <si>
    <t>HSPIA-FY26-058</t>
  </si>
  <si>
    <t>HSPIA-FY26-041</t>
  </si>
  <si>
    <t>HSPIA-FY26-055</t>
  </si>
  <si>
    <t>HSPIA-FY26-072</t>
  </si>
  <si>
    <t>HSPIA-FY26-052</t>
  </si>
  <si>
    <t>HSPIA-FY26-035</t>
  </si>
  <si>
    <t>HSPIA-FY26-013</t>
  </si>
  <si>
    <t>HSPIA-FY26-023</t>
  </si>
  <si>
    <t>HSPIA-FY26-075</t>
  </si>
  <si>
    <t>HSPIA-FY26-028</t>
  </si>
  <si>
    <t>HSPIA-FY26-048</t>
  </si>
  <si>
    <t>HSPIA-FY26-020</t>
  </si>
  <si>
    <t>HSPIA-FY26-025</t>
  </si>
  <si>
    <t>HSPIA-FY26-065</t>
  </si>
  <si>
    <t>HSPIA-FY26-014</t>
  </si>
  <si>
    <t>HSPIA-FY26-054</t>
  </si>
  <si>
    <t>HSPIA-FY26-045</t>
  </si>
  <si>
    <t>HSPIA-FY26-038</t>
  </si>
  <si>
    <t>HSPIA-FY26-008</t>
  </si>
  <si>
    <t>HSPIA-FY26-024</t>
  </si>
  <si>
    <t>HSPIA-FY26-067</t>
  </si>
  <si>
    <t>HSPIA-FY26-031</t>
  </si>
  <si>
    <t>HSPIA-FY26-047</t>
  </si>
  <si>
    <t>HSPIA-FY26-012</t>
  </si>
  <si>
    <t>HSPIA-FY26-022</t>
  </si>
  <si>
    <t>HSPIA-FY26-009</t>
  </si>
  <si>
    <t>HSPIA-FY26-050</t>
  </si>
  <si>
    <t>HSPIA-FY26-066</t>
  </si>
  <si>
    <t>HSPIA-FY26-040</t>
  </si>
  <si>
    <t>HSPIA-FY26-073</t>
  </si>
  <si>
    <t>NW-FY26-020</t>
  </si>
  <si>
    <t>NW-FY26-003</t>
  </si>
  <si>
    <t>NW-FY26-018</t>
  </si>
  <si>
    <t>NW-FY26-009</t>
  </si>
  <si>
    <t>NW-FY26-014</t>
  </si>
  <si>
    <t>NW-FY26-016</t>
  </si>
  <si>
    <t>NW-FY26-005</t>
  </si>
  <si>
    <t>NW-FY26-017</t>
  </si>
  <si>
    <t>NW-FY26-015</t>
  </si>
  <si>
    <t>NW-FY26-001</t>
  </si>
  <si>
    <t>NW-FY26-004</t>
  </si>
  <si>
    <t>NW-FY26-006</t>
  </si>
  <si>
    <t>NW-FY26-012</t>
  </si>
  <si>
    <t>NW-FY26-008</t>
  </si>
  <si>
    <t>NW-FY26-007</t>
  </si>
  <si>
    <t>NW-FY26-021</t>
  </si>
  <si>
    <t>NW-FY26-011</t>
  </si>
  <si>
    <t>NW-FY26-019</t>
  </si>
  <si>
    <t>NW-FY26-010</t>
  </si>
  <si>
    <t>NW-FY26-013</t>
  </si>
  <si>
    <t>Notes</t>
  </si>
  <si>
    <t>Soil &amp; Water Conservation District</t>
  </si>
  <si>
    <t>Deming SWCD</t>
  </si>
  <si>
    <t>San Juan SWCD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</si>
</sst>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0.000000"/>
  </numFmts>
  <fonts count="6" x14ac:knownFonts="1">
    <font>
      <sz val="11"/>
      <color theme="1"/>
      <name val="Aptos Narrow"/>
      <family val="2"/>
      <scheme val="minor"/>
    </font>
    <font>
      <b/>
      <sz val="12"/>
      <color theme="1"/>
      <name val="Aptos Narrow"/>
      <family val="2"/>
      <scheme val="minor"/>
    </font>
    <font>
      <sz val="10"/>
      <color theme="1"/>
      <name val="Tahoma"/>
      <family val="2"/>
    </font>
    <font>
      <b/>
      <sz val="9"/>
      <color rgb="FF111111"/>
      <name val="Arial"/>
      <family val="2"/>
    </font>
    <font>
      <sz val="9"/>
      <color rgb="FF111111"/>
      <name val="Arial"/>
      <family val="2"/>
    </font>
    <font>
      <sz val="11"/>
      <color theme="1"/>
      <name val="Aptos Narrow"/>
      <family val="2"/>
      <scheme val="minor"/>
    </font>
  </fonts>
  <fills count="4">
    <fill>
      <patternFill patternType="none"/>
    </fill>
    <fill>
      <patternFill patternType="gray125"/>
    </fill>
    <fill>
      <patternFill patternType="solid">
        <fgColor rgb="FFE9E9E9"/>
        <bgColor rgb="FFE9E9E9"/>
      </patternFill>
    </fill>
    <fill>
      <patternFill patternType="solid">
        <fgColor rgb="FFFFFFFF"/>
        <bgColor rgb="FFFFFFFF"/>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s>
  <cellStyleXfs count="3">
    <xf numFmtId="0" fontId="0" fillId="0" borderId="0"/>
    <xf numFmtId="0" fontId="2" fillId="0" borderId="0"/>
    <xf numFmtId="44" fontId="5" fillId="0" borderId="0" applyFont="0" applyFill="0" applyBorder="0" applyAlignment="0" applyProtection="0"/>
  </cellStyleXfs>
  <cellXfs count="16">
    <xf numFmtId="0" fontId="0" fillId="0" borderId="0" xfId="0"/>
    <xf numFmtId="0" fontId="1" fillId="0" borderId="0" xfId="0" applyFont="1"/>
    <xf numFmtId="0" fontId="1" fillId="0" borderId="0" xfId="0" applyFont="1" applyAlignment="1">
      <alignment wrapText="1"/>
    </xf>
    <xf numFmtId="0" fontId="4" fillId="3" borderId="1" xfId="0" applyFont="1" applyFill="1" applyBorder="1" applyAlignment="1">
      <alignment horizontal="left" vertical="center"/>
    </xf>
    <xf numFmtId="0" fontId="4" fillId="3" borderId="0" xfId="0" applyFont="1" applyFill="1" applyAlignment="1">
      <alignment horizontal="left" vertical="center"/>
    </xf>
    <xf numFmtId="164" fontId="4" fillId="3" borderId="1" xfId="0" applyNumberFormat="1" applyFont="1" applyFill="1" applyBorder="1" applyAlignment="1">
      <alignment horizontal="righ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49" fontId="1" fillId="0" borderId="0" xfId="0" applyNumberFormat="1" applyFont="1"/>
    <xf numFmtId="49" fontId="0" fillId="0" borderId="0" xfId="0" applyNumberFormat="1"/>
    <xf numFmtId="165" fontId="0" fillId="0" borderId="0" xfId="0" applyNumberFormat="1"/>
    <xf numFmtId="44" fontId="1" fillId="0" borderId="0" xfId="2" applyFont="1"/>
    <xf numFmtId="44" fontId="0" fillId="0" borderId="0" xfId="2" applyFont="1"/>
  </cellXfs>
  <cellStyles count="3">
    <cellStyle name="Currency" xfId="2" builtinId="4"/>
    <cellStyle name="Normal" xfId="0" builtinId="0"/>
    <cellStyle name="Normal 2 2" xfId="1" xr:uid="{1F804022-1ECD-4915-BA37-674C9BCEBCCA}"/>
  </cellStyles>
  <dxfs count="28">
    <dxf>
      <numFmt numFmtId="0" formatCode="General"/>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numFmt numFmtId="164" formatCode="#,##0.0#########;\-#,##0.0#########"/>
      <fill>
        <patternFill patternType="solid">
          <fgColor rgb="FFFFFFFF"/>
          <bgColor rgb="FFFFFFFF"/>
        </patternFill>
      </fill>
      <alignment horizontal="righ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right style="thin">
          <color theme="0" tint="-0.14996795556505021"/>
        </right>
        <top style="thin">
          <color theme="0" tint="-0.14996795556505021"/>
        </top>
        <bottom style="thin">
          <color theme="0" tint="-0.14996795556505021"/>
        </bottom>
        <vertical/>
        <horizontal/>
      </border>
    </dxf>
    <dxf>
      <border outline="0">
        <left style="thin">
          <color theme="0" tint="-0.14996795556505021"/>
        </left>
        <right style="thin">
          <color theme="0" tint="-0.14996795556505021"/>
        </right>
        <top style="thin">
          <color theme="0" tint="-0.14996795556505021"/>
        </top>
      </border>
    </dxf>
    <dxf>
      <font>
        <b val="0"/>
        <i val="0"/>
        <strike val="0"/>
        <condense val="0"/>
        <extend val="0"/>
        <outline val="0"/>
        <shadow val="0"/>
        <u val="none"/>
        <vertAlign val="baseline"/>
        <sz val="9"/>
        <color rgb="FF111111"/>
        <name val="Arial"/>
        <family val="2"/>
        <scheme val="none"/>
      </font>
      <fill>
        <patternFill patternType="solid">
          <fgColor rgb="FFFFFFFF"/>
          <bgColor rgb="FFFFFFFF"/>
        </patternFill>
      </fill>
      <alignment horizontal="left" vertical="center" textRotation="0" wrapText="0" indent="0" justifyLastLine="0" shrinkToFit="0" readingOrder="0"/>
    </dxf>
    <dxf>
      <border outline="0">
        <bottom style="thin">
          <color theme="0" tint="-0.14996795556505021"/>
        </bottom>
      </border>
    </dxf>
    <dxf>
      <font>
        <b/>
        <i val="0"/>
        <strike val="0"/>
        <condense val="0"/>
        <extend val="0"/>
        <outline val="0"/>
        <shadow val="0"/>
        <u val="none"/>
        <vertAlign val="baseline"/>
        <sz val="9"/>
        <color rgb="FF111111"/>
        <name val="Arial"/>
        <family val="2"/>
        <scheme val="none"/>
      </font>
      <fill>
        <patternFill patternType="solid">
          <fgColor rgb="FFE9E9E9"/>
          <bgColor rgb="FFE9E9E9"/>
        </patternFill>
      </fill>
      <alignment horizontal="left" vertical="center" textRotation="0" wrapText="1" indent="0" justifyLastLine="0" shrinkToFit="0" readingOrder="0"/>
      <border diagonalUp="0" diagonalDown="0" outline="0">
        <left style="thin">
          <color theme="0" tint="-0.14996795556505021"/>
        </left>
        <right style="thin">
          <color theme="0" tint="-0.149967955565050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27BFE5-B8E3-49D7-89FF-FD04DF78158D}" name="Table5" displayName="Table5" ref="A1:H21" totalsRowShown="0">
  <autoFilter ref="A1:H21" xr:uid="{AB27BFE5-B8E3-49D7-89FF-FD04DF78158D}"/>
  <tableColumns count="8">
    <tableColumn id="1" xr3:uid="{F8EB2212-B9BD-4B35-B054-D67F87A55FBA}" name="Title (FY26 NMDA's Noxious Weed Management Grant)"/>
    <tableColumn id="2" xr3:uid="{2DC87AC1-4730-455A-BAB0-1A678CBFF105}" name="This application is being submitted on behalf of a... (FY26 NMDA's Noxious Weed Management Grant)"/>
    <tableColumn id="3" xr3:uid="{47C70B0F-AFEE-4933-A5DA-8CBB62A6753A}" name="What entity will serve as administrative and fiscal agent for the Cooperative Weed Management Area for the administration of this grant? (FY26 NMDA's Noxious Weed Management Grant)"/>
    <tableColumn id="4" xr3:uid="{4CA5D5D7-5EC1-42B6-B26C-7B3BE004779E}" name="Enter your organization's Employer Identification Number (EIN): Organization Name (FY26 NMDA's Noxious Weed Management Grant)"/>
    <tableColumn id="5" xr3:uid="{6BC7B01D-5078-4510-BC60-714C5FC22109}" name="What is the name of the organization or entity submitting this application?  (FY26 NMDA's Noxious Weed Management Grant)"/>
    <tableColumn id="6" xr3:uid="{7531CB67-6CB2-4583-985C-B039D5718E1E}" name="What is the physical address of your organization or entity? (FY26 NMDA's Noxious Weed Management Grant)"/>
    <tableColumn id="7" xr3:uid="{73675149-F1BA-4D2F-8E82-7A897655B50E}" name="Provide your Project Title (FY26 NMDA's Noxious Weed Management Grant)"/>
    <tableColumn id="8" xr3:uid="{D7BB5B0C-979F-49C7-9DA0-B0E1B8D7D04D}" name="Provide a very brief 1-2 sentence Project Summary (FY26 NMDA's Noxious Weed Management Gra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F16C60-4DE5-4042-9E1F-801B56A31A35}" name="Table4" displayName="Table4" ref="A1:X42" totalsRowShown="0" headerRowDxfId="27" dataDxfId="25" headerRowBorderDxfId="26" tableBorderDxfId="24">
  <autoFilter ref="A1:X42" xr:uid="{0AF16C60-4DE5-4042-9E1F-801B56A31A35}"/>
  <tableColumns count="24">
    <tableColumn id="1" xr3:uid="{62BA644E-0F78-41ED-903C-70152C9DE835}" name="Title (FY26 District Opportunities Grant )" dataDxfId="23"/>
    <tableColumn id="2" xr3:uid="{EA6A8369-DF25-4FCB-A045-0A6076809231}" name="This application is being submitted on behalf of a... (FY26 District Opportunities Grant )" dataDxfId="22"/>
    <tableColumn id="3" xr3:uid="{0D722C39-EE17-4C11-8D99-BAFBA8D61D9D}" name="What is the name of your Soil and Water Conservation District? (FY26 District Opportunities Grant )" dataDxfId="21"/>
    <tableColumn id="4" xr3:uid="{E3422C2E-2284-47D7-A977-0C91DCB31DC4}" name="What is the physical address of your Soil and Water Conservation District?: Address 1 (FY26 District Opportunities Grant )" dataDxfId="20"/>
    <tableColumn id="5" xr3:uid="{0B4BE037-8B28-4A8E-83D0-3259E2523E0E}" name="What is the physical address of your Soil and Water Conservation District?: Address 2 (FY26 District Opportunities Grant )" dataDxfId="19"/>
    <tableColumn id="6" xr3:uid="{E69CE028-6EFF-46DF-8499-3719A80A8FF1}" name="What is the physical address of your Soil and Water Conservation District?: City (FY26 District Opportunities Grant )" dataDxfId="18"/>
    <tableColumn id="7" xr3:uid="{D22E4402-6B63-48FF-AE89-F90FF9EC2A53}" name="What is the physical address of your Soil and Water Conservation District?: Region (FY26 District Opportunities Grant )" dataDxfId="17"/>
    <tableColumn id="8" xr3:uid="{8B5C48AE-C623-4D2F-B357-0595787AB8F3}" name="What is the physical address of your Soil and Water Conservation District?: Country (FY26 District Opportunities Grant )" dataDxfId="16"/>
    <tableColumn id="9" xr3:uid="{A6B04D3E-8EEC-4E04-B664-ABAC4FCABE5F}" name="address combined" dataDxfId="15">
      <calculatedColumnFormula>D2&amp;" "&amp;E2&amp;" "&amp;F2&amp;" "&amp;G2&amp;" "&amp;H2</calculatedColumnFormula>
    </tableColumn>
    <tableColumn id="10" xr3:uid="{D62F5189-A886-487F-B9F2-AF79BF2ADDE4}" name="What is the physical address of your Soil and Water Conservation District?: Postal Code (FY26 District Opportunities Grant )" dataDxfId="14"/>
    <tableColumn id="11" xr3:uid="{5BF23B01-D1D8-4472-8316-51CC21F37798}" name="What is the physical address of your Soil and Water Conservation District?: Latitude (FY26 District Opportunities Grant )" dataDxfId="13"/>
    <tableColumn id="12" xr3:uid="{ACDD4746-7359-4865-A664-B32BA7393B90}" name="What is the physical address of your Soil and Water Conservation District?: Longitude (FY26 District Opportunities Grant )" dataDxfId="12"/>
    <tableColumn id="13" xr3:uid="{88A21C0C-9B90-4569-9017-8A1134CC8842}" name="Is this physical address the same as your district's mailing address? (FY26 District Opportunities Grant )" dataDxfId="11"/>
    <tableColumn id="14" xr3:uid="{9DAF9D6E-D574-40D0-A4AC-DDEBEA464086}" name="What is the name of your Watershed District? (FY26 District Opportunities Grant )" dataDxfId="10"/>
    <tableColumn id="15" xr3:uid="{0300AEA0-4FC1-4251-85D6-725C22A941E7}" name="What is the physical address of your Watershed District?: Address 1 (FY26 District Opportunities Grant )" dataDxfId="9"/>
    <tableColumn id="16" xr3:uid="{0F29CEF6-144A-4E8E-8F51-B303CE56AB01}" name="What is the physical address of your Watershed District?: Address 2 (FY26 District Opportunities Grant )" dataDxfId="8"/>
    <tableColumn id="17" xr3:uid="{C675F4FE-9E44-4CF0-9405-119F18C26D37}" name="What is the physical address of your Watershed District?: City (FY26 District Opportunities Grant )" dataDxfId="7"/>
    <tableColumn id="18" xr3:uid="{A54E6A7E-6131-4545-AC23-07199893356E}" name="What is the physical address of your Watershed District?: Region (FY26 District Opportunities Grant )" dataDxfId="6"/>
    <tableColumn id="19" xr3:uid="{39CF414B-1207-4742-9698-F5B57BF71526}" name="What is the physical address of your Watershed District?: Country (FY26 District Opportunities Grant )" dataDxfId="5"/>
    <tableColumn id="20" xr3:uid="{7729B2A6-6D1C-4BFD-A841-1C5372E2CFDD}" name="What is the physical address of your Watershed District?: Postal Code (FY26 District Opportunities Grant )"/>
    <tableColumn id="21" xr3:uid="{9DEEA8A6-C23E-43C3-8108-511C043DA2E3}" name="What is the physical address of your Watershed District?: Longitude (FY26 District Opportunities Grant )" dataDxfId="4"/>
    <tableColumn id="22" xr3:uid="{4A428DF9-24A9-4327-9D9A-20FC7814D562}" name="What is the physical address of your Watershed District?: Latitude (FY26 District Opportunities Grant )" dataDxfId="3"/>
    <tableColumn id="23" xr3:uid="{4044D168-6D9C-46A2-A526-6244BC24FE13}" name="Provide a Project Summary (FY26 District Opportunities Grant )" dataDxfId="2"/>
    <tableColumn id="24" xr3:uid="{7DDB763B-A6DB-44EE-B266-BB8F33160FDD}" name="Provide a Project Title (FY26 District Opportunities Grant )"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41F15D-CFD7-474C-8E52-169D5A719A57}" name="Table1" displayName="Table1" ref="A1:L76" totalsRowShown="0">
  <autoFilter ref="A1:L76" xr:uid="{4782970C-3DBE-4762-8B0F-E19715FF274E}"/>
  <sortState xmlns:xlrd2="http://schemas.microsoft.com/office/spreadsheetml/2017/richdata2" ref="A2:L76">
    <sortCondition ref="A1:A76"/>
  </sortState>
  <tableColumns count="12">
    <tableColumn id="1" xr3:uid="{109CB2ED-F486-48DD-9B17-597FBD422EF0}" name="Title (FY26 Healthy Soil Program grants for Individual Applicants)"/>
    <tableColumn id="2" xr3:uid="{F2A730A6-8560-4481-B413-BC955F901532}" name="Who will be financially responsible for this project, purchasing approved budget items in order to carry out approved project activities?  (FY26 Healthy Soil Program grants for Individual Applicants)"/>
    <tableColumn id="3" xr3:uid="{30E2CCA2-205E-43D9-9645-2ECEF04A3234}" name="Who primarily completed this online application?  (FY26 Healthy Soil Program grants for Individual Applicants)"/>
    <tableColumn id="4" xr3:uid="{C06992F8-DBE3-4DF5-95B0-CF063C1B9849}" name="Legal name of primary contact / project lead: First Name (FY26 Healthy Soil Program grants for Individual Applicants)"/>
    <tableColumn id="5" xr3:uid="{E35C8575-83DD-4B91-ABDF-0B294743D581}" name="Legal name of primary contact / project lead: Last Name (FY26 Healthy Soil Program grants for Individual Applicants)"/>
    <tableColumn id="6" xr3:uid="{2A065E1B-1AD6-4769-B152-899F7C5E1708}" name="In which New Mexico county is the project site located? (FY26 Healthy Soil Program grants for Individual Applicants)"/>
    <tableColumn id="7" xr3:uid="{273633A8-5E35-4EF5-97E8-D4671FD99688}" name="Does the project site have a physical address or coordinates?  (FY26 Healthy Soil Program grants for Individual Applicants)"/>
    <tableColumn id="8" xr3:uid="{761D25E3-19B9-4521-A813-57EE42805C4B}" name="What is the physical address of the project site? (FY26 Healthy Soil Program grants for Individual Applicants)"/>
    <tableColumn id="9" xr3:uid="{A8C3D884-8BEC-4AA1-9090-F8F920955396}" name="What are the latitude and longitude coordinates for the project site? (FY26 Healthy Soil Program grants for Individual Applicants)"/>
    <tableColumn id="10" xr3:uid="{962B5494-2479-4DB7-A3A0-A7ED969A364C}" name="Project Title (FY26 Healthy Soil Program grants for Individual Applicants)"/>
    <tableColumn id="11" xr3:uid="{4880C3AB-1186-4ED9-8E4B-842D51E33B52}" name="Provide your project summary below. (FY26 Healthy Soil Program grants for Individual Applicants)"/>
    <tableColumn id="12" xr3:uid="{E9F7950F-BBD5-443D-B279-E2B7BD22E09E}" name="How should NMDA refer to you in the promotional materials described above? (FY26 Healthy Soil Program grants for Individual Applica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46CE30-17B4-4608-82F7-C21787F0AC5F}" name="Table3" displayName="Table3" ref="A1:Q24" totalsRowShown="0">
  <autoFilter ref="A1:Q24" xr:uid="{9C46CE30-17B4-4608-82F7-C21787F0AC5F}"/>
  <sortState xmlns:xlrd2="http://schemas.microsoft.com/office/spreadsheetml/2017/richdata2" ref="A2:Q24">
    <sortCondition ref="A1:A24"/>
  </sortState>
  <tableColumns count="17">
    <tableColumn id="1" xr3:uid="{46EBA549-4FFF-4076-BF3F-B324D44F20C0}" name="Title (FY26 Healthy Soil Program Grant for Eligible Entities)"/>
    <tableColumn id="2" xr3:uid="{7C70AEBA-47F4-4CC6-B6D1-45420C5174DC}" name="In which New Mexico county is the project site(s) located? (FY26 Healthy Soil Program Grant for Eligible Entities)"/>
    <tableColumn id="3" xr3:uid="{C6DBF1F2-368B-4048-98AE-89B840167F08}" name="Does the project site(s) have a physical address or coordinates?  (FY26 Healthy Soil Program Grant for Eligible Entities)"/>
    <tableColumn id="4" xr3:uid="{918BC546-BBEB-44BE-B4A5-26B0209AAA94}" name="What is the physical address of the project site(s)? : Address 1 (FY26 Healthy Soil Program Grant for Eligible Entities)"/>
    <tableColumn id="5" xr3:uid="{E3129041-BD1A-498B-8DEB-58B156D9A477}" name="What is the physical address of the project site(s)? : Address 2 (FY26 Healthy Soil Program Grant for Eligible Entities)"/>
    <tableColumn id="6" xr3:uid="{DBF7F186-F4E2-4A61-A3D3-05B24F01CC8E}" name="What is the physical address of the project site(s)? : City (FY26 Healthy Soil Program Grant for Eligible Entities)"/>
    <tableColumn id="7" xr3:uid="{693B8F20-67B2-41EB-9B46-2FF044A415D4}" name="What is the physical address of the project site(s)? : Region (FY26 Healthy Soil Program Grant for Eligible Entities)"/>
    <tableColumn id="8" xr3:uid="{68E9A687-A244-4A28-A4FC-7EC980DC1B7C}" name="What is the physical address of the project site(s)? : Country (FY26 Healthy Soil Program Grant for Eligible Entities)"/>
    <tableColumn id="9" xr3:uid="{AD8D33FA-B557-4FD5-B5BC-A44670559789}" name="What is the physical address of the project site(s)? : Postal Code (FY26 Healthy Soil Program Grant for Eligible Entities)"/>
    <tableColumn id="11" xr3:uid="{52B28F4C-58A0-4038-9E29-D04850D4B224}" name="address combined" dataDxfId="0">
      <calculatedColumnFormula>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calculatedColumnFormula>
    </tableColumn>
    <tableColumn id="17" xr3:uid="{852D7C0A-FE82-435F-86B5-E37FBBDB7A4E}" name="What is the physical address of the project site(s)? : Latitude (FY26 Healthy Soil Program Grant for Eligible Entities)"/>
    <tableColumn id="10" xr3:uid="{432C00C2-E2CB-43A7-A850-5EE3343DF94F}" name="What is the physical address of the project site(s)? : Longitude (FY26 Healthy Soil Program Grant for Eligible Entities)"/>
    <tableColumn id="12" xr3:uid="{AEEC28FA-D7C0-42F7-BECA-6C4AD673EB4F}" name="What are the latitude and longitude coordinates of the project site(s)? (FY26 Healthy Soil Program Grant for Eligible Entities)"/>
    <tableColumn id="13" xr3:uid="{86E2962B-C38C-4D0A-B75E-8437B94A7FF9}" name="Which Eligible Entity type best describes your organization? (FY26 Healthy Soil Program Grant for Eligible Entities)"/>
    <tableColumn id="14" xr3:uid="{55EC971D-FCCA-4846-A6DA-31F145A54CB9}" name="What is the name of the Eligible Entity? (FY26 Healthy Soil Program Grant for Eligible Entities)"/>
    <tableColumn id="15" xr3:uid="{CB2E5B9E-92DB-4514-A176-03E57B50EE2C}" name="Project Title (FY26 Healthy Soil Program Grant for Eligible Entities)"/>
    <tableColumn id="16" xr3:uid="{A5D5BA56-E932-406D-95E0-CB43EBFB93DA}" name="Provide your project summary below. (FY26 Healthy Soil Program Grant for Eligible Entit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9D535-8404-4057-84F3-CE0C86EB5A50}">
  <dimension ref="A1:M96"/>
  <sheetViews>
    <sheetView tabSelected="1" topLeftCell="A47" zoomScale="70" zoomScaleNormal="70" workbookViewId="0">
      <pane ySplit="630" activePane="bottomLeft"/>
      <selection activeCell="C44" sqref="C1:C1048576"/>
      <selection pane="bottomLeft" activeCell="C75" sqref="C75"/>
    </sheetView>
  </sheetViews>
  <sheetFormatPr defaultRowHeight="15" x14ac:dyDescent="0.25"/>
  <cols>
    <col min="1" max="1" width="18.5703125" bestFit="1" customWidth="1"/>
    <col min="2" max="2" width="41.42578125" bestFit="1" customWidth="1"/>
    <col min="3" max="3" width="45.42578125" bestFit="1" customWidth="1"/>
    <col min="4" max="4" width="14.42578125" style="15" bestFit="1" customWidth="1"/>
    <col min="5" max="5" width="18.28515625" hidden="1" customWidth="1"/>
    <col min="6" max="6" width="58.28515625" bestFit="1" customWidth="1"/>
    <col min="7" max="7" width="18.5703125" bestFit="1" customWidth="1"/>
    <col min="8" max="8" width="41.7109375" customWidth="1"/>
    <col min="9" max="9" width="76.28515625" bestFit="1" customWidth="1"/>
    <col min="11" max="12" width="20.140625" style="12" customWidth="1"/>
  </cols>
  <sheetData>
    <row r="1" spans="1:13" ht="31.5" x14ac:dyDescent="0.25">
      <c r="A1" s="1" t="s">
        <v>0</v>
      </c>
      <c r="B1" s="1" t="s">
        <v>1</v>
      </c>
      <c r="C1" s="1" t="s">
        <v>2</v>
      </c>
      <c r="D1" s="14" t="s">
        <v>3</v>
      </c>
      <c r="E1" s="2" t="s">
        <v>4</v>
      </c>
      <c r="F1" s="2" t="s">
        <v>5</v>
      </c>
      <c r="G1" s="1" t="s">
        <v>6</v>
      </c>
      <c r="H1" s="1" t="s">
        <v>7</v>
      </c>
      <c r="I1" s="2" t="s">
        <v>8</v>
      </c>
      <c r="J1" s="2" t="s">
        <v>9</v>
      </c>
      <c r="K1" s="11" t="s">
        <v>10</v>
      </c>
      <c r="L1" s="11" t="s">
        <v>11</v>
      </c>
      <c r="M1" s="1" t="s">
        <v>1243</v>
      </c>
    </row>
    <row r="2" spans="1:13" x14ac:dyDescent="0.25">
      <c r="A2" t="s">
        <v>1187</v>
      </c>
      <c r="B2" t="s">
        <v>112</v>
      </c>
      <c r="C2" t="s">
        <v>35</v>
      </c>
      <c r="D2" s="15">
        <v>5940.55</v>
      </c>
      <c r="E2" t="s">
        <v>71</v>
      </c>
      <c r="F2" t="s">
        <v>577</v>
      </c>
      <c r="G2" t="s">
        <v>565</v>
      </c>
      <c r="H2" t="s">
        <v>400</v>
      </c>
      <c r="I2" t="s">
        <v>398</v>
      </c>
      <c r="K2" s="13">
        <v>35.182591000000002</v>
      </c>
      <c r="L2" s="13">
        <v>-103.644831</v>
      </c>
    </row>
    <row r="3" spans="1:13" x14ac:dyDescent="0.25">
      <c r="A3" t="s">
        <v>1188</v>
      </c>
      <c r="B3" t="s">
        <v>112</v>
      </c>
      <c r="C3" t="s">
        <v>42</v>
      </c>
      <c r="D3" s="15">
        <v>5537.03</v>
      </c>
      <c r="E3" t="s">
        <v>78</v>
      </c>
      <c r="F3" t="s">
        <v>577</v>
      </c>
      <c r="G3" t="s">
        <v>565</v>
      </c>
      <c r="H3" t="s">
        <v>311</v>
      </c>
      <c r="I3" t="s">
        <v>309</v>
      </c>
      <c r="K3" s="13">
        <v>35.255299800000003</v>
      </c>
      <c r="L3" s="13">
        <v>-103.51155110000001</v>
      </c>
      <c r="M3" t="s">
        <v>956</v>
      </c>
    </row>
    <row r="4" spans="1:13" x14ac:dyDescent="0.25">
      <c r="A4" t="s">
        <v>1189</v>
      </c>
      <c r="B4" t="s">
        <v>112</v>
      </c>
      <c r="C4" t="s">
        <v>27</v>
      </c>
      <c r="D4" s="15">
        <v>4656.8599999999997</v>
      </c>
      <c r="E4" t="s">
        <v>63</v>
      </c>
      <c r="F4" t="s">
        <v>577</v>
      </c>
      <c r="G4" t="s">
        <v>562</v>
      </c>
      <c r="H4" t="s">
        <v>371</v>
      </c>
      <c r="I4" t="s">
        <v>370</v>
      </c>
      <c r="K4" s="13">
        <v>35.374250000000004</v>
      </c>
      <c r="L4" s="13">
        <v>-106.50705600000001</v>
      </c>
      <c r="M4" t="s">
        <v>958</v>
      </c>
    </row>
    <row r="5" spans="1:13" x14ac:dyDescent="0.25">
      <c r="A5" t="s">
        <v>1190</v>
      </c>
      <c r="B5" t="s">
        <v>112</v>
      </c>
      <c r="C5" t="s">
        <v>33</v>
      </c>
      <c r="D5" s="15">
        <v>9149.27</v>
      </c>
      <c r="E5" t="s">
        <v>69</v>
      </c>
      <c r="F5" t="s">
        <v>577</v>
      </c>
      <c r="G5" t="s">
        <v>571</v>
      </c>
      <c r="H5" t="s">
        <v>395</v>
      </c>
      <c r="I5" t="s">
        <v>394</v>
      </c>
      <c r="K5" s="13">
        <v>34.060738999999998</v>
      </c>
      <c r="L5" s="13">
        <v>-106.900863</v>
      </c>
    </row>
    <row r="6" spans="1:13" x14ac:dyDescent="0.25">
      <c r="A6" t="s">
        <v>1191</v>
      </c>
      <c r="B6" t="s">
        <v>112</v>
      </c>
      <c r="C6" t="s">
        <v>61</v>
      </c>
      <c r="D6" s="15">
        <v>11549.3</v>
      </c>
      <c r="E6" t="s">
        <v>97</v>
      </c>
      <c r="F6" t="s">
        <v>577</v>
      </c>
      <c r="G6" t="s">
        <v>563</v>
      </c>
      <c r="H6" t="s">
        <v>282</v>
      </c>
      <c r="I6" t="s">
        <v>280</v>
      </c>
      <c r="K6" s="13">
        <v>36.100104000000002</v>
      </c>
      <c r="L6" s="13">
        <v>-106.064347</v>
      </c>
    </row>
    <row r="7" spans="1:13" x14ac:dyDescent="0.25">
      <c r="A7" t="s">
        <v>1192</v>
      </c>
      <c r="B7" t="s">
        <v>112</v>
      </c>
      <c r="C7" t="s">
        <v>34</v>
      </c>
      <c r="D7" s="15">
        <v>4373.01</v>
      </c>
      <c r="E7" t="s">
        <v>70</v>
      </c>
      <c r="F7" t="s">
        <v>577</v>
      </c>
      <c r="G7" t="s">
        <v>561</v>
      </c>
      <c r="H7" t="s">
        <v>351</v>
      </c>
      <c r="I7" t="s">
        <v>349</v>
      </c>
      <c r="K7" s="13">
        <v>36.006528000000003</v>
      </c>
      <c r="L7" s="13">
        <v>-105.95483900000001</v>
      </c>
    </row>
    <row r="8" spans="1:13" x14ac:dyDescent="0.25">
      <c r="A8" t="s">
        <v>1193</v>
      </c>
      <c r="B8" t="s">
        <v>112</v>
      </c>
      <c r="C8" t="s">
        <v>55</v>
      </c>
      <c r="D8" s="15">
        <v>14085.83</v>
      </c>
      <c r="E8" t="s">
        <v>91</v>
      </c>
      <c r="F8" t="s">
        <v>577</v>
      </c>
      <c r="G8" t="s">
        <v>569</v>
      </c>
      <c r="H8" t="s">
        <v>486</v>
      </c>
      <c r="I8" t="s">
        <v>485</v>
      </c>
      <c r="K8" s="13">
        <v>34.728952999999997</v>
      </c>
      <c r="L8" s="13">
        <v>-106.769811</v>
      </c>
      <c r="M8" t="s">
        <v>1060</v>
      </c>
    </row>
    <row r="9" spans="1:13" x14ac:dyDescent="0.25">
      <c r="A9" t="s">
        <v>1194</v>
      </c>
      <c r="B9" t="s">
        <v>112</v>
      </c>
      <c r="C9" t="s">
        <v>47</v>
      </c>
      <c r="D9" s="15">
        <v>2406.79</v>
      </c>
      <c r="E9" t="s">
        <v>83</v>
      </c>
      <c r="F9" t="s">
        <v>577</v>
      </c>
      <c r="G9" t="s">
        <v>573</v>
      </c>
      <c r="H9" t="s">
        <v>455</v>
      </c>
      <c r="I9" t="s">
        <v>453</v>
      </c>
      <c r="K9" s="13">
        <v>32.908704999999998</v>
      </c>
      <c r="L9" s="13">
        <v>-105.947918</v>
      </c>
    </row>
    <row r="10" spans="1:13" x14ac:dyDescent="0.25">
      <c r="A10" t="s">
        <v>1195</v>
      </c>
      <c r="B10" t="s">
        <v>112</v>
      </c>
      <c r="C10" t="s">
        <v>54</v>
      </c>
      <c r="D10" s="15">
        <v>8210.6299999999992</v>
      </c>
      <c r="E10" t="s">
        <v>90</v>
      </c>
      <c r="F10" t="s">
        <v>577</v>
      </c>
      <c r="G10" t="s">
        <v>560</v>
      </c>
      <c r="H10" t="s">
        <v>200</v>
      </c>
      <c r="I10" t="s">
        <v>199</v>
      </c>
      <c r="K10" s="13">
        <v>35.194719999999997</v>
      </c>
      <c r="L10" s="13">
        <v>-106.625823</v>
      </c>
    </row>
    <row r="11" spans="1:13" x14ac:dyDescent="0.25">
      <c r="A11" t="s">
        <v>1196</v>
      </c>
      <c r="B11" t="s">
        <v>112</v>
      </c>
      <c r="C11" t="s">
        <v>59</v>
      </c>
      <c r="D11" s="15">
        <v>7742.11</v>
      </c>
      <c r="E11" t="s">
        <v>95</v>
      </c>
      <c r="F11" t="s">
        <v>577</v>
      </c>
      <c r="G11" t="s">
        <v>564</v>
      </c>
      <c r="H11" t="s">
        <v>520</v>
      </c>
      <c r="I11" t="s">
        <v>519</v>
      </c>
      <c r="K11" s="13">
        <v>36.937559</v>
      </c>
      <c r="L11" s="13">
        <v>-105.554051</v>
      </c>
      <c r="M11" t="s">
        <v>956</v>
      </c>
    </row>
    <row r="12" spans="1:13" x14ac:dyDescent="0.25">
      <c r="A12" t="s">
        <v>1197</v>
      </c>
      <c r="B12" t="s">
        <v>112</v>
      </c>
      <c r="C12" t="s">
        <v>52</v>
      </c>
      <c r="D12" s="15">
        <v>16367.83</v>
      </c>
      <c r="E12" t="s">
        <v>88</v>
      </c>
      <c r="F12" t="s">
        <v>577</v>
      </c>
      <c r="G12" t="s">
        <v>563</v>
      </c>
      <c r="H12" t="s">
        <v>240</v>
      </c>
      <c r="I12" t="s">
        <v>239</v>
      </c>
      <c r="K12" s="13">
        <v>36.189298000000001</v>
      </c>
      <c r="L12" s="13">
        <v>-105.85315300000001</v>
      </c>
    </row>
    <row r="13" spans="1:13" x14ac:dyDescent="0.25">
      <c r="A13" t="s">
        <v>1198</v>
      </c>
      <c r="B13" t="s">
        <v>112</v>
      </c>
      <c r="C13" t="s">
        <v>44</v>
      </c>
      <c r="D13" s="15">
        <v>16911.400000000001</v>
      </c>
      <c r="E13" t="s">
        <v>80</v>
      </c>
      <c r="F13" t="s">
        <v>577</v>
      </c>
      <c r="G13" t="s">
        <v>561</v>
      </c>
      <c r="H13" t="s">
        <v>323</v>
      </c>
      <c r="I13" t="s">
        <v>322</v>
      </c>
      <c r="K13" s="13">
        <v>35.498403000000003</v>
      </c>
      <c r="L13" s="13">
        <v>-106.08736</v>
      </c>
    </row>
    <row r="14" spans="1:13" x14ac:dyDescent="0.25">
      <c r="A14" t="s">
        <v>1199</v>
      </c>
      <c r="B14" t="s">
        <v>112</v>
      </c>
      <c r="C14" t="s">
        <v>31</v>
      </c>
      <c r="D14" s="15">
        <v>2877.5</v>
      </c>
      <c r="E14" t="s">
        <v>67</v>
      </c>
      <c r="F14" t="s">
        <v>577</v>
      </c>
      <c r="G14" t="s">
        <v>576</v>
      </c>
      <c r="H14" t="s">
        <v>536</v>
      </c>
      <c r="I14" t="s">
        <v>535</v>
      </c>
      <c r="K14" s="13">
        <v>35.345030999999999</v>
      </c>
      <c r="L14" s="13">
        <v>-105.431066</v>
      </c>
    </row>
    <row r="15" spans="1:13" x14ac:dyDescent="0.25">
      <c r="A15" t="s">
        <v>1200</v>
      </c>
      <c r="B15" t="s">
        <v>112</v>
      </c>
      <c r="C15" t="s">
        <v>38</v>
      </c>
      <c r="D15" s="15">
        <v>16946.05</v>
      </c>
      <c r="E15" t="s">
        <v>74</v>
      </c>
      <c r="F15" t="s">
        <v>577</v>
      </c>
      <c r="G15" t="s">
        <v>564</v>
      </c>
      <c r="H15" t="s">
        <v>423</v>
      </c>
      <c r="I15" t="s">
        <v>422</v>
      </c>
      <c r="K15" s="13">
        <v>36.42145</v>
      </c>
      <c r="L15" s="13">
        <v>-105.577888</v>
      </c>
      <c r="M15" t="s">
        <v>956</v>
      </c>
    </row>
    <row r="16" spans="1:13" x14ac:dyDescent="0.25">
      <c r="A16" t="s">
        <v>1201</v>
      </c>
      <c r="B16" t="s">
        <v>112</v>
      </c>
      <c r="C16" t="s">
        <v>62</v>
      </c>
      <c r="D16" s="15">
        <v>11852.94</v>
      </c>
      <c r="E16" t="s">
        <v>98</v>
      </c>
      <c r="F16" t="s">
        <v>577</v>
      </c>
      <c r="G16" t="s">
        <v>560</v>
      </c>
      <c r="H16" t="s">
        <v>533</v>
      </c>
      <c r="I16" t="s">
        <v>531</v>
      </c>
      <c r="K16" s="13">
        <v>35.002586999999998</v>
      </c>
      <c r="L16" s="13">
        <v>-106.694095</v>
      </c>
    </row>
    <row r="17" spans="1:13" x14ac:dyDescent="0.25">
      <c r="A17" t="s">
        <v>1202</v>
      </c>
      <c r="B17" t="s">
        <v>112</v>
      </c>
      <c r="C17" t="s">
        <v>41</v>
      </c>
      <c r="D17" s="15">
        <v>10128.82</v>
      </c>
      <c r="E17" t="s">
        <v>77</v>
      </c>
      <c r="F17" t="s">
        <v>577</v>
      </c>
      <c r="G17" t="s">
        <v>572</v>
      </c>
      <c r="H17" t="s">
        <v>433</v>
      </c>
      <c r="I17" t="s">
        <v>432</v>
      </c>
      <c r="K17" s="13">
        <v>32.978222000000002</v>
      </c>
      <c r="L17" s="13">
        <v>-107.388167</v>
      </c>
    </row>
    <row r="18" spans="1:13" x14ac:dyDescent="0.25">
      <c r="A18" t="s">
        <v>1203</v>
      </c>
      <c r="B18" t="s">
        <v>112</v>
      </c>
      <c r="C18" t="s">
        <v>50</v>
      </c>
      <c r="D18" s="15">
        <v>18427.36</v>
      </c>
      <c r="E18" t="s">
        <v>86</v>
      </c>
      <c r="F18" t="s">
        <v>577</v>
      </c>
      <c r="G18" t="s">
        <v>563</v>
      </c>
      <c r="H18" t="s">
        <v>478</v>
      </c>
      <c r="I18" t="s">
        <v>477</v>
      </c>
      <c r="K18" s="13">
        <v>36.166589999999999</v>
      </c>
      <c r="L18" s="13">
        <v>-106.174401</v>
      </c>
    </row>
    <row r="19" spans="1:13" x14ac:dyDescent="0.25">
      <c r="A19" t="s">
        <v>1204</v>
      </c>
      <c r="B19" t="s">
        <v>112</v>
      </c>
      <c r="C19" t="s">
        <v>36</v>
      </c>
      <c r="D19" s="15">
        <v>6220.48</v>
      </c>
      <c r="E19" t="s">
        <v>72</v>
      </c>
      <c r="F19" t="s">
        <v>577</v>
      </c>
      <c r="G19" t="s">
        <v>565</v>
      </c>
      <c r="H19" t="s">
        <v>405</v>
      </c>
      <c r="I19" t="s">
        <v>403</v>
      </c>
      <c r="K19" s="13">
        <v>35.156826000000002</v>
      </c>
      <c r="L19" s="13">
        <v>-103.6222247</v>
      </c>
      <c r="M19" t="s">
        <v>956</v>
      </c>
    </row>
    <row r="20" spans="1:13" x14ac:dyDescent="0.25">
      <c r="A20" t="s">
        <v>1205</v>
      </c>
      <c r="B20" t="s">
        <v>112</v>
      </c>
      <c r="C20" t="s">
        <v>40</v>
      </c>
      <c r="D20" s="15">
        <v>5472.98</v>
      </c>
      <c r="E20" t="s">
        <v>76</v>
      </c>
      <c r="F20" t="s">
        <v>577</v>
      </c>
      <c r="G20" t="s">
        <v>565</v>
      </c>
      <c r="H20" t="s">
        <v>300</v>
      </c>
      <c r="I20" t="s">
        <v>298</v>
      </c>
      <c r="K20" s="13">
        <v>35.178847300000001</v>
      </c>
      <c r="L20" s="13">
        <v>-103.7509483</v>
      </c>
      <c r="M20" t="s">
        <v>956</v>
      </c>
    </row>
    <row r="21" spans="1:13" x14ac:dyDescent="0.25">
      <c r="A21" t="s">
        <v>1206</v>
      </c>
      <c r="B21" t="s">
        <v>112</v>
      </c>
      <c r="C21" t="s">
        <v>56</v>
      </c>
      <c r="D21" s="15">
        <v>2797.61</v>
      </c>
      <c r="E21" t="s">
        <v>92</v>
      </c>
      <c r="F21" t="s">
        <v>577</v>
      </c>
      <c r="G21" t="s">
        <v>568</v>
      </c>
      <c r="H21" t="s">
        <v>268</v>
      </c>
      <c r="I21" t="s">
        <v>267</v>
      </c>
      <c r="K21" s="13">
        <v>36.968888</v>
      </c>
      <c r="L21" s="13">
        <v>-107.87412500000001</v>
      </c>
    </row>
    <row r="22" spans="1:13" x14ac:dyDescent="0.25">
      <c r="A22" t="s">
        <v>1207</v>
      </c>
      <c r="B22" t="s">
        <v>112</v>
      </c>
      <c r="C22" t="s">
        <v>32</v>
      </c>
      <c r="D22" s="15">
        <v>4516.1400000000003</v>
      </c>
      <c r="E22" t="s">
        <v>68</v>
      </c>
      <c r="F22" t="s">
        <v>577</v>
      </c>
      <c r="G22" t="s">
        <v>563</v>
      </c>
      <c r="H22" t="s">
        <v>295</v>
      </c>
      <c r="I22" t="s">
        <v>294</v>
      </c>
      <c r="K22" s="13">
        <v>36.165671000000003</v>
      </c>
      <c r="L22" s="13">
        <v>-105.9688</v>
      </c>
    </row>
    <row r="23" spans="1:13" x14ac:dyDescent="0.25">
      <c r="A23" t="s">
        <v>1208</v>
      </c>
      <c r="B23" t="s">
        <v>112</v>
      </c>
      <c r="C23" t="s">
        <v>53</v>
      </c>
      <c r="D23" s="15">
        <v>8454.86</v>
      </c>
      <c r="E23" t="s">
        <v>89</v>
      </c>
      <c r="F23" t="s">
        <v>577</v>
      </c>
      <c r="G23" t="s">
        <v>566</v>
      </c>
      <c r="H23" t="s">
        <v>245</v>
      </c>
      <c r="I23" t="s">
        <v>244</v>
      </c>
      <c r="K23" s="13">
        <v>34.529017000000003</v>
      </c>
      <c r="L23" s="13">
        <v>-106.23613</v>
      </c>
      <c r="M23" t="s">
        <v>957</v>
      </c>
    </row>
    <row r="24" spans="1:13" x14ac:dyDescent="0.25">
      <c r="A24" t="s">
        <v>1209</v>
      </c>
      <c r="B24" t="s">
        <v>112</v>
      </c>
      <c r="C24" t="s">
        <v>48</v>
      </c>
      <c r="D24" s="15">
        <v>18008.349999999999</v>
      </c>
      <c r="E24" t="s">
        <v>84</v>
      </c>
      <c r="F24" t="s">
        <v>577</v>
      </c>
      <c r="G24" t="s">
        <v>564</v>
      </c>
      <c r="H24" t="s">
        <v>466</v>
      </c>
      <c r="I24" t="s">
        <v>464</v>
      </c>
      <c r="K24" s="13">
        <v>36.425448000000003</v>
      </c>
      <c r="L24" s="13">
        <v>-105.586607</v>
      </c>
      <c r="M24" t="s">
        <v>1060</v>
      </c>
    </row>
    <row r="25" spans="1:13" x14ac:dyDescent="0.25">
      <c r="A25" t="s">
        <v>1210</v>
      </c>
      <c r="B25" t="s">
        <v>112</v>
      </c>
      <c r="C25" t="s">
        <v>45</v>
      </c>
      <c r="D25" s="15">
        <v>11375</v>
      </c>
      <c r="E25" t="s">
        <v>81</v>
      </c>
      <c r="F25" t="s">
        <v>577</v>
      </c>
      <c r="G25" t="s">
        <v>569</v>
      </c>
      <c r="H25" t="s">
        <v>328</v>
      </c>
      <c r="I25" t="s">
        <v>327</v>
      </c>
      <c r="K25" s="13">
        <v>34.890766999999997</v>
      </c>
      <c r="L25" s="13">
        <v>-106.675214</v>
      </c>
      <c r="M25" t="s">
        <v>958</v>
      </c>
    </row>
    <row r="26" spans="1:13" x14ac:dyDescent="0.25">
      <c r="A26" t="s">
        <v>1211</v>
      </c>
      <c r="B26" t="s">
        <v>112</v>
      </c>
      <c r="C26" t="s">
        <v>28</v>
      </c>
      <c r="D26" s="15">
        <v>3046.04</v>
      </c>
      <c r="E26" t="s">
        <v>64</v>
      </c>
      <c r="F26" t="s">
        <v>577</v>
      </c>
      <c r="G26" t="s">
        <v>571</v>
      </c>
      <c r="H26" t="s">
        <v>377</v>
      </c>
      <c r="I26" t="s">
        <v>376</v>
      </c>
      <c r="K26" s="13">
        <v>34.377042000000003</v>
      </c>
      <c r="L26" s="13">
        <v>-106.833095</v>
      </c>
    </row>
    <row r="27" spans="1:13" x14ac:dyDescent="0.25">
      <c r="A27" t="s">
        <v>1212</v>
      </c>
      <c r="B27" t="s">
        <v>112</v>
      </c>
      <c r="C27" t="s">
        <v>39</v>
      </c>
      <c r="D27" s="15">
        <v>2944.04</v>
      </c>
      <c r="E27" t="s">
        <v>75</v>
      </c>
      <c r="F27" t="s">
        <v>577</v>
      </c>
      <c r="G27" t="s">
        <v>560</v>
      </c>
      <c r="H27" t="s">
        <v>428</v>
      </c>
      <c r="I27" t="s">
        <v>427</v>
      </c>
      <c r="K27" s="13">
        <v>35.071643999999999</v>
      </c>
      <c r="L27" s="13">
        <v>-106.689037</v>
      </c>
    </row>
    <row r="28" spans="1:13" x14ac:dyDescent="0.25">
      <c r="A28" t="s">
        <v>1213</v>
      </c>
      <c r="B28" t="s">
        <v>112</v>
      </c>
      <c r="C28" t="s">
        <v>58</v>
      </c>
      <c r="D28" s="15">
        <v>16487.23</v>
      </c>
      <c r="E28" t="s">
        <v>94</v>
      </c>
      <c r="F28" t="s">
        <v>577</v>
      </c>
      <c r="G28" t="s">
        <v>561</v>
      </c>
      <c r="H28" t="s">
        <v>510</v>
      </c>
      <c r="I28" t="s">
        <v>509</v>
      </c>
      <c r="K28" s="13">
        <v>35.644841999999997</v>
      </c>
      <c r="L28" s="13">
        <v>-105.95061800000001</v>
      </c>
    </row>
    <row r="29" spans="1:13" x14ac:dyDescent="0.25">
      <c r="A29" t="s">
        <v>1214</v>
      </c>
      <c r="B29" t="s">
        <v>112</v>
      </c>
      <c r="C29" t="s">
        <v>43</v>
      </c>
      <c r="D29" s="15">
        <v>6162.98</v>
      </c>
      <c r="E29" t="s">
        <v>79</v>
      </c>
      <c r="F29" t="s">
        <v>577</v>
      </c>
      <c r="G29" t="s">
        <v>565</v>
      </c>
      <c r="H29" t="s">
        <v>218</v>
      </c>
      <c r="I29" t="s">
        <v>216</v>
      </c>
      <c r="K29" s="13">
        <v>35.192705699999998</v>
      </c>
      <c r="L29" s="13">
        <v>-103.5731001</v>
      </c>
      <c r="M29" t="s">
        <v>956</v>
      </c>
    </row>
    <row r="30" spans="1:13" x14ac:dyDescent="0.25">
      <c r="A30" t="s">
        <v>1215</v>
      </c>
      <c r="B30" t="s">
        <v>112</v>
      </c>
      <c r="C30" t="s">
        <v>49</v>
      </c>
      <c r="D30" s="15">
        <v>18109.810000000001</v>
      </c>
      <c r="E30" t="s">
        <v>85</v>
      </c>
      <c r="F30" t="s">
        <v>577</v>
      </c>
      <c r="G30" t="s">
        <v>558</v>
      </c>
      <c r="H30" t="s">
        <v>229</v>
      </c>
      <c r="I30" t="s">
        <v>228</v>
      </c>
      <c r="K30" s="13">
        <v>32.361718000000003</v>
      </c>
      <c r="L30" s="13">
        <v>-106.81893700000001</v>
      </c>
    </row>
    <row r="31" spans="1:13" x14ac:dyDescent="0.25">
      <c r="A31" t="s">
        <v>1216</v>
      </c>
      <c r="B31" t="s">
        <v>112</v>
      </c>
      <c r="C31" t="s">
        <v>30</v>
      </c>
      <c r="D31" s="15">
        <v>17430.5</v>
      </c>
      <c r="E31" t="s">
        <v>66</v>
      </c>
      <c r="F31" t="s">
        <v>577</v>
      </c>
      <c r="G31" t="s">
        <v>564</v>
      </c>
      <c r="H31" t="s">
        <v>344</v>
      </c>
      <c r="I31" t="s">
        <v>343</v>
      </c>
      <c r="K31" s="13">
        <v>36.40889</v>
      </c>
      <c r="L31" s="13">
        <v>-105.59820499999999</v>
      </c>
    </row>
    <row r="32" spans="1:13" x14ac:dyDescent="0.25">
      <c r="A32" t="s">
        <v>1217</v>
      </c>
      <c r="B32" t="s">
        <v>112</v>
      </c>
      <c r="C32" t="s">
        <v>37</v>
      </c>
      <c r="D32" s="15">
        <v>4034.75</v>
      </c>
      <c r="E32" t="s">
        <v>73</v>
      </c>
      <c r="F32" t="s">
        <v>577</v>
      </c>
      <c r="G32" t="s">
        <v>561</v>
      </c>
      <c r="H32" t="s">
        <v>417</v>
      </c>
      <c r="I32" t="s">
        <v>416</v>
      </c>
      <c r="K32" s="13">
        <v>35.235711999999999</v>
      </c>
      <c r="L32" s="13">
        <v>-106.154554</v>
      </c>
    </row>
    <row r="33" spans="1:13" x14ac:dyDescent="0.25">
      <c r="A33" t="s">
        <v>1218</v>
      </c>
      <c r="B33" t="s">
        <v>112</v>
      </c>
      <c r="C33" t="s">
        <v>29</v>
      </c>
      <c r="D33" s="15">
        <v>3374.96</v>
      </c>
      <c r="E33" t="s">
        <v>65</v>
      </c>
      <c r="F33" t="s">
        <v>577</v>
      </c>
      <c r="G33" t="s">
        <v>560</v>
      </c>
      <c r="H33" t="s">
        <v>290</v>
      </c>
      <c r="I33" t="s">
        <v>289</v>
      </c>
      <c r="K33" s="13">
        <v>35.064165000000003</v>
      </c>
      <c r="L33" s="13">
        <v>-106.674468</v>
      </c>
    </row>
    <row r="34" spans="1:13" x14ac:dyDescent="0.25">
      <c r="A34" t="s">
        <v>1219</v>
      </c>
      <c r="B34" t="s">
        <v>112</v>
      </c>
      <c r="C34" t="s">
        <v>51</v>
      </c>
      <c r="D34" s="15">
        <v>15861.13</v>
      </c>
      <c r="E34" t="s">
        <v>87</v>
      </c>
      <c r="F34" t="s">
        <v>577</v>
      </c>
      <c r="G34" t="s">
        <v>564</v>
      </c>
      <c r="H34" t="s">
        <v>482</v>
      </c>
      <c r="I34" t="s">
        <v>481</v>
      </c>
      <c r="K34" s="13">
        <v>36.536920000000002</v>
      </c>
      <c r="L34" s="13">
        <v>-105.75003</v>
      </c>
      <c r="M34" t="s">
        <v>956</v>
      </c>
    </row>
    <row r="35" spans="1:13" x14ac:dyDescent="0.25">
      <c r="A35" t="s">
        <v>1220</v>
      </c>
      <c r="B35" t="s">
        <v>112</v>
      </c>
      <c r="C35" t="s">
        <v>57</v>
      </c>
      <c r="D35" s="15">
        <v>1250</v>
      </c>
      <c r="E35" t="s">
        <v>93</v>
      </c>
      <c r="F35" t="s">
        <v>577</v>
      </c>
      <c r="G35" t="s">
        <v>563</v>
      </c>
      <c r="H35" t="s">
        <v>506</v>
      </c>
      <c r="I35" t="s">
        <v>505</v>
      </c>
      <c r="K35" s="13">
        <v>36.014437000000001</v>
      </c>
      <c r="L35" s="13">
        <v>-106.05899700000001</v>
      </c>
    </row>
    <row r="36" spans="1:13" x14ac:dyDescent="0.25">
      <c r="A36" t="s">
        <v>1221</v>
      </c>
      <c r="B36" t="s">
        <v>112</v>
      </c>
      <c r="C36" t="s">
        <v>46</v>
      </c>
      <c r="D36" s="15">
        <v>5310.52</v>
      </c>
      <c r="E36" t="s">
        <v>82</v>
      </c>
      <c r="F36" t="s">
        <v>577</v>
      </c>
      <c r="G36" t="s">
        <v>561</v>
      </c>
      <c r="H36" t="s">
        <v>333</v>
      </c>
      <c r="I36" t="s">
        <v>332</v>
      </c>
      <c r="K36" s="13">
        <v>35.662005999999998</v>
      </c>
      <c r="L36" s="13">
        <v>-105.992707</v>
      </c>
    </row>
    <row r="37" spans="1:13" x14ac:dyDescent="0.25">
      <c r="A37" t="s">
        <v>1222</v>
      </c>
      <c r="B37" t="s">
        <v>112</v>
      </c>
      <c r="C37" t="s">
        <v>60</v>
      </c>
      <c r="D37" s="15">
        <v>3698.2</v>
      </c>
      <c r="E37" t="s">
        <v>96</v>
      </c>
      <c r="F37" t="s">
        <v>577</v>
      </c>
      <c r="G37" t="s">
        <v>560</v>
      </c>
      <c r="H37" t="s">
        <v>527</v>
      </c>
      <c r="I37" t="s">
        <v>526</v>
      </c>
      <c r="K37" s="13">
        <v>35.063687000000002</v>
      </c>
      <c r="L37" s="13">
        <v>-106.62038699999999</v>
      </c>
    </row>
    <row r="38" spans="1:13" x14ac:dyDescent="0.25">
      <c r="A38" t="s">
        <v>1223</v>
      </c>
      <c r="B38" t="s">
        <v>1059</v>
      </c>
      <c r="C38" t="s">
        <v>969</v>
      </c>
      <c r="D38" s="15">
        <v>29820</v>
      </c>
      <c r="E38" t="s">
        <v>983</v>
      </c>
      <c r="F38" t="s">
        <v>1094</v>
      </c>
      <c r="G38" t="s">
        <v>562</v>
      </c>
      <c r="H38" t="s">
        <v>984</v>
      </c>
      <c r="I38" t="s">
        <v>982</v>
      </c>
      <c r="K38" s="13">
        <v>34.981766</v>
      </c>
      <c r="L38" s="13">
        <v>-106.667372</v>
      </c>
    </row>
    <row r="39" spans="1:13" x14ac:dyDescent="0.25">
      <c r="A39" t="s">
        <v>1228</v>
      </c>
      <c r="B39" t="s">
        <v>1059</v>
      </c>
      <c r="C39" t="s">
        <v>1104</v>
      </c>
      <c r="D39" s="15">
        <v>59400</v>
      </c>
      <c r="E39" t="s">
        <v>1111</v>
      </c>
      <c r="F39" t="s">
        <v>1094</v>
      </c>
      <c r="G39" t="s">
        <v>562</v>
      </c>
      <c r="H39" t="s">
        <v>1123</v>
      </c>
      <c r="I39" t="s">
        <v>1134</v>
      </c>
      <c r="K39" s="12" t="s">
        <v>1145</v>
      </c>
      <c r="L39" s="12" t="s">
        <v>1146</v>
      </c>
      <c r="M39" t="s">
        <v>1147</v>
      </c>
    </row>
    <row r="40" spans="1:13" x14ac:dyDescent="0.25">
      <c r="A40" t="s">
        <v>1234</v>
      </c>
      <c r="B40" t="s">
        <v>1059</v>
      </c>
      <c r="C40" t="s">
        <v>961</v>
      </c>
      <c r="D40" s="15">
        <v>59990.92</v>
      </c>
      <c r="E40" t="s">
        <v>1031</v>
      </c>
      <c r="F40" t="s">
        <v>1094</v>
      </c>
      <c r="G40" t="s">
        <v>1099</v>
      </c>
      <c r="H40" t="s">
        <v>1032</v>
      </c>
      <c r="I40" t="s">
        <v>1030</v>
      </c>
      <c r="K40" s="13">
        <v>35.104937999999997</v>
      </c>
      <c r="L40" s="13">
        <v>-106.577105</v>
      </c>
    </row>
    <row r="41" spans="1:13" x14ac:dyDescent="0.25">
      <c r="A41" t="s">
        <v>1226</v>
      </c>
      <c r="B41" t="s">
        <v>1059</v>
      </c>
      <c r="C41" t="s">
        <v>1103</v>
      </c>
      <c r="D41" s="15">
        <v>59999.97</v>
      </c>
      <c r="E41" t="s">
        <v>1109</v>
      </c>
      <c r="F41" t="s">
        <v>1094</v>
      </c>
      <c r="G41" t="s">
        <v>564</v>
      </c>
      <c r="H41" t="s">
        <v>1121</v>
      </c>
      <c r="I41" t="s">
        <v>1132</v>
      </c>
      <c r="K41" s="12" t="s">
        <v>1151</v>
      </c>
      <c r="L41" s="12" t="s">
        <v>1152</v>
      </c>
    </row>
    <row r="42" spans="1:13" x14ac:dyDescent="0.25">
      <c r="A42" t="s">
        <v>1240</v>
      </c>
      <c r="B42" t="s">
        <v>1059</v>
      </c>
      <c r="C42" t="s">
        <v>968</v>
      </c>
      <c r="D42" s="15">
        <v>34330</v>
      </c>
      <c r="E42" t="s">
        <v>1046</v>
      </c>
      <c r="F42" t="s">
        <v>1094</v>
      </c>
      <c r="G42" t="s">
        <v>564</v>
      </c>
      <c r="H42" t="s">
        <v>1047</v>
      </c>
      <c r="I42" t="s">
        <v>1045</v>
      </c>
      <c r="K42" s="13">
        <v>36.399787000000003</v>
      </c>
      <c r="L42" s="13">
        <v>-105.58665499999999</v>
      </c>
    </row>
    <row r="43" spans="1:13" x14ac:dyDescent="0.25">
      <c r="A43" t="s">
        <v>1228</v>
      </c>
      <c r="B43" t="s">
        <v>1059</v>
      </c>
      <c r="C43" t="s">
        <v>966</v>
      </c>
      <c r="D43" s="15">
        <v>30000</v>
      </c>
      <c r="E43" t="s">
        <v>996</v>
      </c>
      <c r="F43" t="s">
        <v>1096</v>
      </c>
      <c r="G43" t="s">
        <v>569</v>
      </c>
      <c r="H43" t="s">
        <v>997</v>
      </c>
      <c r="I43" t="s">
        <v>995</v>
      </c>
      <c r="K43" s="13">
        <v>34.660449999999997</v>
      </c>
      <c r="L43" s="13">
        <v>-106.77655</v>
      </c>
    </row>
    <row r="44" spans="1:13" x14ac:dyDescent="0.25">
      <c r="A44" t="s">
        <v>1223</v>
      </c>
      <c r="B44" t="s">
        <v>1059</v>
      </c>
      <c r="C44" t="s">
        <v>1107</v>
      </c>
      <c r="D44" s="15">
        <v>52140</v>
      </c>
      <c r="E44" t="s">
        <v>1117</v>
      </c>
      <c r="F44" t="s">
        <v>1096</v>
      </c>
      <c r="G44" t="s">
        <v>573</v>
      </c>
      <c r="H44" t="s">
        <v>1128</v>
      </c>
      <c r="I44" t="s">
        <v>1136</v>
      </c>
      <c r="K44" s="13" t="s">
        <v>1138</v>
      </c>
      <c r="L44" s="13" t="s">
        <v>1139</v>
      </c>
    </row>
    <row r="45" spans="1:13" x14ac:dyDescent="0.25">
      <c r="A45" t="s">
        <v>1157</v>
      </c>
      <c r="B45" t="s">
        <v>762</v>
      </c>
      <c r="C45" t="s">
        <v>743</v>
      </c>
      <c r="D45" s="15">
        <v>11220</v>
      </c>
      <c r="E45" t="s">
        <v>755</v>
      </c>
      <c r="F45" t="s">
        <v>1244</v>
      </c>
      <c r="G45" t="s">
        <v>1092</v>
      </c>
      <c r="H45" t="s">
        <v>801</v>
      </c>
      <c r="I45" t="s">
        <v>1076</v>
      </c>
      <c r="K45" s="13">
        <v>33.948056200000003</v>
      </c>
      <c r="L45" s="13">
        <v>-103.65617570000001</v>
      </c>
    </row>
    <row r="46" spans="1:13" x14ac:dyDescent="0.25">
      <c r="A46" t="s">
        <v>1158</v>
      </c>
      <c r="B46" t="s">
        <v>762</v>
      </c>
      <c r="C46" t="s">
        <v>738</v>
      </c>
      <c r="D46" s="15">
        <v>5372.54</v>
      </c>
      <c r="E46" t="s">
        <v>758</v>
      </c>
      <c r="F46" t="s">
        <v>1244</v>
      </c>
      <c r="G46" t="s">
        <v>1101</v>
      </c>
      <c r="H46" t="s">
        <v>810</v>
      </c>
      <c r="I46" t="s">
        <v>1067</v>
      </c>
      <c r="K46" s="13">
        <v>32.693694600000001</v>
      </c>
      <c r="L46" s="13">
        <v>-107.19677160000001</v>
      </c>
    </row>
    <row r="47" spans="1:13" x14ac:dyDescent="0.25">
      <c r="A47" t="s">
        <v>1159</v>
      </c>
      <c r="B47" t="s">
        <v>762</v>
      </c>
      <c r="C47" t="s">
        <v>18</v>
      </c>
      <c r="D47" s="15">
        <v>249999.8</v>
      </c>
      <c r="E47" t="s">
        <v>754</v>
      </c>
      <c r="F47" t="s">
        <v>1244</v>
      </c>
      <c r="G47" t="s">
        <v>567</v>
      </c>
      <c r="H47" t="s">
        <v>836</v>
      </c>
      <c r="I47" t="s">
        <v>1075</v>
      </c>
      <c r="K47" s="13">
        <v>33.413277100000002</v>
      </c>
      <c r="L47" s="13">
        <v>-104.5141141</v>
      </c>
    </row>
    <row r="48" spans="1:13" x14ac:dyDescent="0.25">
      <c r="A48" t="s">
        <v>1160</v>
      </c>
      <c r="B48" t="s">
        <v>762</v>
      </c>
      <c r="C48" t="s">
        <v>734</v>
      </c>
      <c r="D48" s="15">
        <v>14236.2</v>
      </c>
      <c r="E48" t="s">
        <v>753</v>
      </c>
      <c r="F48" t="s">
        <v>1244</v>
      </c>
      <c r="G48" t="s">
        <v>560</v>
      </c>
      <c r="H48" t="s">
        <v>846</v>
      </c>
      <c r="I48" t="s">
        <v>1074</v>
      </c>
      <c r="K48" s="13">
        <v>35.166334999999997</v>
      </c>
      <c r="L48" s="13">
        <v>-106.586978</v>
      </c>
    </row>
    <row r="49" spans="1:13" x14ac:dyDescent="0.25">
      <c r="A49" t="s">
        <v>1161</v>
      </c>
      <c r="B49" t="s">
        <v>762</v>
      </c>
      <c r="C49" t="s">
        <v>744</v>
      </c>
      <c r="D49" s="15">
        <v>15000</v>
      </c>
      <c r="E49" t="s">
        <v>756</v>
      </c>
      <c r="F49" t="s">
        <v>1244</v>
      </c>
      <c r="G49" t="s">
        <v>560</v>
      </c>
      <c r="H49" t="s">
        <v>865</v>
      </c>
      <c r="I49" t="s">
        <v>1077</v>
      </c>
      <c r="K49" s="13">
        <v>35.314928299999998</v>
      </c>
      <c r="L49" s="13">
        <v>-106.5461576</v>
      </c>
      <c r="M49" t="s">
        <v>1061</v>
      </c>
    </row>
    <row r="50" spans="1:13" x14ac:dyDescent="0.25">
      <c r="A50" t="s">
        <v>1162</v>
      </c>
      <c r="B50" t="s">
        <v>762</v>
      </c>
      <c r="C50" t="s">
        <v>14</v>
      </c>
      <c r="D50" s="15">
        <v>81125</v>
      </c>
      <c r="E50" t="s">
        <v>746</v>
      </c>
      <c r="F50" t="s">
        <v>1244</v>
      </c>
      <c r="G50" t="s">
        <v>574</v>
      </c>
      <c r="H50" t="s">
        <v>880</v>
      </c>
      <c r="I50" t="s">
        <v>1065</v>
      </c>
      <c r="K50" s="13">
        <v>34.938433199999999</v>
      </c>
      <c r="L50" s="13">
        <v>-104.6806268</v>
      </c>
    </row>
    <row r="51" spans="1:13" x14ac:dyDescent="0.25">
      <c r="A51" t="s">
        <v>1163</v>
      </c>
      <c r="B51" t="s">
        <v>762</v>
      </c>
      <c r="C51" t="s">
        <v>14</v>
      </c>
      <c r="D51" s="15">
        <v>219010</v>
      </c>
      <c r="E51" t="s">
        <v>752</v>
      </c>
      <c r="F51" t="s">
        <v>1244</v>
      </c>
      <c r="G51" t="s">
        <v>574</v>
      </c>
      <c r="H51" t="s">
        <v>881</v>
      </c>
      <c r="I51" t="s">
        <v>1065</v>
      </c>
      <c r="K51" s="13">
        <v>34.938433199999999</v>
      </c>
      <c r="L51" s="13">
        <v>-104.6806268</v>
      </c>
    </row>
    <row r="52" spans="1:13" x14ac:dyDescent="0.25">
      <c r="A52" t="s">
        <v>1164</v>
      </c>
      <c r="B52" t="s">
        <v>762</v>
      </c>
      <c r="C52" t="s">
        <v>739</v>
      </c>
      <c r="D52" s="15">
        <v>250000</v>
      </c>
      <c r="E52" t="s">
        <v>748</v>
      </c>
      <c r="F52" t="s">
        <v>1244</v>
      </c>
      <c r="G52" t="s">
        <v>567</v>
      </c>
      <c r="H52" t="s">
        <v>887</v>
      </c>
      <c r="I52" t="s">
        <v>1068</v>
      </c>
      <c r="K52" s="13">
        <v>33.1150187</v>
      </c>
      <c r="L52" s="13">
        <v>-104.3273232</v>
      </c>
    </row>
    <row r="53" spans="1:13" x14ac:dyDescent="0.25">
      <c r="A53" t="s">
        <v>1165</v>
      </c>
      <c r="B53" t="s">
        <v>762</v>
      </c>
      <c r="C53" t="s">
        <v>737</v>
      </c>
      <c r="D53" s="15">
        <v>24750</v>
      </c>
      <c r="E53" t="s">
        <v>745</v>
      </c>
      <c r="F53" t="s">
        <v>1244</v>
      </c>
      <c r="G53" t="s">
        <v>559</v>
      </c>
      <c r="H53" t="s">
        <v>893</v>
      </c>
      <c r="I53" t="s">
        <v>1063</v>
      </c>
      <c r="K53" s="13">
        <v>32.355099000000003</v>
      </c>
      <c r="L53" s="13">
        <v>-108.709373</v>
      </c>
    </row>
    <row r="54" spans="1:13" x14ac:dyDescent="0.25">
      <c r="A54" t="s">
        <v>1166</v>
      </c>
      <c r="B54" t="s">
        <v>762</v>
      </c>
      <c r="C54" t="s">
        <v>740</v>
      </c>
      <c r="D54" s="15">
        <v>19200</v>
      </c>
      <c r="E54" t="s">
        <v>749</v>
      </c>
      <c r="F54" t="s">
        <v>1244</v>
      </c>
      <c r="G54" t="s">
        <v>1100</v>
      </c>
      <c r="H54" t="s">
        <v>899</v>
      </c>
      <c r="I54" t="s">
        <v>1069</v>
      </c>
      <c r="K54" s="13">
        <v>35.529066899999997</v>
      </c>
      <c r="L54" s="13">
        <v>-108.70799770000001</v>
      </c>
    </row>
    <row r="55" spans="1:13" x14ac:dyDescent="0.25">
      <c r="A55" t="s">
        <v>1167</v>
      </c>
      <c r="B55" t="s">
        <v>762</v>
      </c>
      <c r="C55" t="s">
        <v>740</v>
      </c>
      <c r="D55" s="15">
        <v>9182.25</v>
      </c>
      <c r="E55" t="s">
        <v>761</v>
      </c>
      <c r="F55" t="s">
        <v>1244</v>
      </c>
      <c r="G55" t="s">
        <v>1100</v>
      </c>
      <c r="H55" t="s">
        <v>901</v>
      </c>
      <c r="I55" t="s">
        <v>1069</v>
      </c>
      <c r="K55" s="13">
        <v>35.529066899999997</v>
      </c>
      <c r="L55" s="13">
        <v>-108.70799770000001</v>
      </c>
    </row>
    <row r="56" spans="1:13" x14ac:dyDescent="0.25">
      <c r="A56" t="s">
        <v>1168</v>
      </c>
      <c r="B56" t="s">
        <v>762</v>
      </c>
      <c r="C56" t="s">
        <v>741</v>
      </c>
      <c r="D56" s="15">
        <v>2971.1</v>
      </c>
      <c r="E56" t="s">
        <v>750</v>
      </c>
      <c r="F56" t="s">
        <v>1244</v>
      </c>
      <c r="G56" t="s">
        <v>1098</v>
      </c>
      <c r="H56" t="s">
        <v>908</v>
      </c>
      <c r="I56" t="s">
        <v>1070</v>
      </c>
      <c r="K56" s="13">
        <v>35.944946199999997</v>
      </c>
      <c r="L56" s="13">
        <v>-104.19613990000001</v>
      </c>
    </row>
    <row r="57" spans="1:13" x14ac:dyDescent="0.25">
      <c r="A57" t="s">
        <v>1169</v>
      </c>
      <c r="B57" t="s">
        <v>762</v>
      </c>
      <c r="C57" t="s">
        <v>16</v>
      </c>
      <c r="D57" s="15">
        <v>7405</v>
      </c>
      <c r="E57" t="s">
        <v>760</v>
      </c>
      <c r="F57" t="s">
        <v>1244</v>
      </c>
      <c r="G57" t="s">
        <v>728</v>
      </c>
      <c r="H57" t="s">
        <v>920</v>
      </c>
      <c r="I57" t="s">
        <v>1073</v>
      </c>
      <c r="K57" s="13">
        <v>34.2687983</v>
      </c>
      <c r="L57" s="13">
        <v>-103.3189342</v>
      </c>
    </row>
    <row r="58" spans="1:13" x14ac:dyDescent="0.25">
      <c r="A58" t="s">
        <v>1170</v>
      </c>
      <c r="B58" t="s">
        <v>762</v>
      </c>
      <c r="C58" t="s">
        <v>12</v>
      </c>
      <c r="D58" s="15">
        <v>128593.87</v>
      </c>
      <c r="E58" t="s">
        <v>759</v>
      </c>
      <c r="F58" t="s">
        <v>1244</v>
      </c>
      <c r="G58" t="s">
        <v>561</v>
      </c>
      <c r="H58" t="s">
        <v>925</v>
      </c>
      <c r="I58" t="s">
        <v>1071</v>
      </c>
      <c r="K58" s="13">
        <v>35.632355500000003</v>
      </c>
      <c r="L58" s="13">
        <v>-106.01531730000001</v>
      </c>
    </row>
    <row r="59" spans="1:13" x14ac:dyDescent="0.25">
      <c r="A59" t="s">
        <v>1171</v>
      </c>
      <c r="B59" t="s">
        <v>762</v>
      </c>
      <c r="C59" t="s">
        <v>742</v>
      </c>
      <c r="D59" s="15">
        <v>217402.19</v>
      </c>
      <c r="E59" t="s">
        <v>751</v>
      </c>
      <c r="F59" t="s">
        <v>1244</v>
      </c>
      <c r="G59" t="s">
        <v>572</v>
      </c>
      <c r="H59" t="s">
        <v>932</v>
      </c>
      <c r="I59" t="s">
        <v>1072</v>
      </c>
      <c r="K59" s="13">
        <v>33.122360999999998</v>
      </c>
      <c r="L59" s="13">
        <v>-107.276202</v>
      </c>
    </row>
    <row r="60" spans="1:13" x14ac:dyDescent="0.25">
      <c r="A60" t="s">
        <v>1172</v>
      </c>
      <c r="B60" t="s">
        <v>762</v>
      </c>
      <c r="C60" t="s">
        <v>13</v>
      </c>
      <c r="D60" s="15">
        <v>2117.5</v>
      </c>
      <c r="E60" t="s">
        <v>757</v>
      </c>
      <c r="F60" t="s">
        <v>1244</v>
      </c>
      <c r="G60" t="s">
        <v>565</v>
      </c>
      <c r="H60" t="s">
        <v>941</v>
      </c>
      <c r="I60" t="s">
        <v>1064</v>
      </c>
      <c r="K60" s="13">
        <v>34.446567600000002</v>
      </c>
      <c r="L60" s="13">
        <v>-103.4953802</v>
      </c>
    </row>
    <row r="61" spans="1:13" x14ac:dyDescent="0.25">
      <c r="A61" t="s">
        <v>1173</v>
      </c>
      <c r="B61" t="s">
        <v>762</v>
      </c>
      <c r="C61" t="s">
        <v>22</v>
      </c>
      <c r="D61" s="15">
        <v>112125</v>
      </c>
      <c r="E61" t="s">
        <v>747</v>
      </c>
      <c r="F61" t="s">
        <v>1244</v>
      </c>
      <c r="G61" t="s">
        <v>564</v>
      </c>
      <c r="H61" t="s">
        <v>947</v>
      </c>
      <c r="I61" t="s">
        <v>1066</v>
      </c>
      <c r="K61" s="13">
        <v>36.3751344</v>
      </c>
      <c r="L61" s="13">
        <v>-105.6028968</v>
      </c>
    </row>
    <row r="62" spans="1:13" x14ac:dyDescent="0.25">
      <c r="A62" t="s">
        <v>1174</v>
      </c>
      <c r="B62" t="s">
        <v>26</v>
      </c>
      <c r="C62" t="s">
        <v>15</v>
      </c>
      <c r="D62" s="15">
        <v>51389.05</v>
      </c>
      <c r="E62" t="s">
        <v>100</v>
      </c>
      <c r="F62" t="s">
        <v>1244</v>
      </c>
      <c r="G62" t="s">
        <v>729</v>
      </c>
      <c r="H62" t="s">
        <v>686</v>
      </c>
      <c r="I62" t="s">
        <v>1080</v>
      </c>
      <c r="K62" s="13">
        <v>34.423314099999999</v>
      </c>
      <c r="L62" s="13">
        <v>-103.19332199999999</v>
      </c>
    </row>
    <row r="63" spans="1:13" x14ac:dyDescent="0.25">
      <c r="A63" t="s">
        <v>1175</v>
      </c>
      <c r="B63" t="s">
        <v>26</v>
      </c>
      <c r="C63" t="s">
        <v>18</v>
      </c>
      <c r="D63" s="15">
        <v>57500</v>
      </c>
      <c r="E63" t="s">
        <v>104</v>
      </c>
      <c r="F63" t="s">
        <v>1244</v>
      </c>
      <c r="G63" t="s">
        <v>567</v>
      </c>
      <c r="H63" t="s">
        <v>692</v>
      </c>
      <c r="I63" t="s">
        <v>1083</v>
      </c>
      <c r="K63" s="13">
        <v>33.413277100000002</v>
      </c>
      <c r="L63" s="13">
        <v>-104.5141141</v>
      </c>
      <c r="M63" t="s">
        <v>1091</v>
      </c>
    </row>
    <row r="64" spans="1:13" x14ac:dyDescent="0.25">
      <c r="A64" t="s">
        <v>1176</v>
      </c>
      <c r="B64" t="s">
        <v>26</v>
      </c>
      <c r="C64" t="s">
        <v>24</v>
      </c>
      <c r="D64" s="15">
        <v>73745.97</v>
      </c>
      <c r="E64" t="s">
        <v>111</v>
      </c>
      <c r="F64" t="s">
        <v>1244</v>
      </c>
      <c r="G64" t="s">
        <v>558</v>
      </c>
      <c r="H64" t="s">
        <v>675</v>
      </c>
      <c r="I64" t="s">
        <v>1088</v>
      </c>
      <c r="K64" s="13">
        <v>32.080526999999996</v>
      </c>
      <c r="L64" s="13">
        <v>-106.614795</v>
      </c>
      <c r="M64" t="s">
        <v>1089</v>
      </c>
    </row>
    <row r="65" spans="1:13" x14ac:dyDescent="0.25">
      <c r="A65" t="s">
        <v>1177</v>
      </c>
      <c r="B65" t="s">
        <v>26</v>
      </c>
      <c r="C65" t="s">
        <v>21</v>
      </c>
      <c r="D65" s="15">
        <v>39100</v>
      </c>
      <c r="E65" t="s">
        <v>108</v>
      </c>
      <c r="F65" t="s">
        <v>1244</v>
      </c>
      <c r="G65" t="s">
        <v>563</v>
      </c>
      <c r="H65" t="s">
        <v>627</v>
      </c>
      <c r="I65" t="s">
        <v>1085</v>
      </c>
      <c r="K65" s="13">
        <v>36.0384271</v>
      </c>
      <c r="L65" s="13">
        <v>-106.0989107</v>
      </c>
      <c r="M65" t="s">
        <v>1090</v>
      </c>
    </row>
    <row r="66" spans="1:13" x14ac:dyDescent="0.25">
      <c r="A66" t="s">
        <v>1178</v>
      </c>
      <c r="B66" t="s">
        <v>26</v>
      </c>
      <c r="C66" t="s">
        <v>14</v>
      </c>
      <c r="D66" s="15">
        <v>94114.58</v>
      </c>
      <c r="E66" t="s">
        <v>101</v>
      </c>
      <c r="F66" t="s">
        <v>1244</v>
      </c>
      <c r="G66" t="s">
        <v>574</v>
      </c>
      <c r="H66" t="s">
        <v>680</v>
      </c>
      <c r="I66" t="s">
        <v>1079</v>
      </c>
      <c r="K66" s="13">
        <v>34.938433199999999</v>
      </c>
      <c r="L66" s="13">
        <v>-104.6806268</v>
      </c>
    </row>
    <row r="67" spans="1:13" x14ac:dyDescent="0.25">
      <c r="A67" t="s">
        <v>1179</v>
      </c>
      <c r="B67" t="s">
        <v>26</v>
      </c>
      <c r="C67" t="s">
        <v>14</v>
      </c>
      <c r="D67" s="15">
        <v>99992.5</v>
      </c>
      <c r="E67" t="s">
        <v>105</v>
      </c>
      <c r="F67" t="s">
        <v>1244</v>
      </c>
      <c r="G67" t="s">
        <v>574</v>
      </c>
      <c r="H67" t="s">
        <v>694</v>
      </c>
      <c r="I67" t="s">
        <v>1079</v>
      </c>
      <c r="K67" s="13">
        <v>34.938433199999999</v>
      </c>
      <c r="L67" s="13">
        <v>-104.6806268</v>
      </c>
    </row>
    <row r="68" spans="1:13" x14ac:dyDescent="0.25">
      <c r="A68" t="s">
        <v>1183</v>
      </c>
      <c r="B68" t="s">
        <v>26</v>
      </c>
      <c r="C68" t="s">
        <v>16</v>
      </c>
      <c r="D68" s="15">
        <v>50857.36</v>
      </c>
      <c r="E68" t="s">
        <v>102</v>
      </c>
      <c r="F68" t="s">
        <v>1244</v>
      </c>
      <c r="G68" t="s">
        <v>728</v>
      </c>
      <c r="H68" t="s">
        <v>615</v>
      </c>
      <c r="I68" t="s">
        <v>1081</v>
      </c>
      <c r="K68" s="13">
        <v>34.210684999999998</v>
      </c>
      <c r="L68" s="13">
        <v>-103.318113</v>
      </c>
      <c r="M68" t="s">
        <v>1090</v>
      </c>
    </row>
    <row r="69" spans="1:13" x14ac:dyDescent="0.25">
      <c r="A69" t="s">
        <v>1184</v>
      </c>
      <c r="B69" t="s">
        <v>26</v>
      </c>
      <c r="C69" t="s">
        <v>12</v>
      </c>
      <c r="D69" s="15">
        <v>99685.4</v>
      </c>
      <c r="E69" t="s">
        <v>99</v>
      </c>
      <c r="F69" t="s">
        <v>1244</v>
      </c>
      <c r="G69" t="s">
        <v>561</v>
      </c>
      <c r="H69" t="s">
        <v>608</v>
      </c>
      <c r="I69" t="s">
        <v>1078</v>
      </c>
      <c r="K69" s="13">
        <v>35.633089200000001</v>
      </c>
      <c r="L69" s="13">
        <v>-106.0159827</v>
      </c>
    </row>
    <row r="70" spans="1:13" x14ac:dyDescent="0.25">
      <c r="A70" t="s">
        <v>1185</v>
      </c>
      <c r="B70" t="s">
        <v>26</v>
      </c>
      <c r="C70" t="s">
        <v>13</v>
      </c>
      <c r="D70" s="15">
        <v>51389.05</v>
      </c>
      <c r="E70" t="s">
        <v>100</v>
      </c>
      <c r="F70" t="s">
        <v>1244</v>
      </c>
      <c r="G70" t="s">
        <v>565</v>
      </c>
      <c r="H70" t="s">
        <v>604</v>
      </c>
      <c r="I70" t="s">
        <v>1044</v>
      </c>
      <c r="K70" s="13">
        <v>34.446567600000002</v>
      </c>
      <c r="L70" s="13">
        <v>-103.4953802</v>
      </c>
      <c r="M70" t="s">
        <v>1091</v>
      </c>
    </row>
    <row r="71" spans="1:13" x14ac:dyDescent="0.25">
      <c r="A71" t="s">
        <v>1186</v>
      </c>
      <c r="B71" t="s">
        <v>26</v>
      </c>
      <c r="C71" t="s">
        <v>22</v>
      </c>
      <c r="D71" s="15">
        <v>95230.5</v>
      </c>
      <c r="E71" t="s">
        <v>109</v>
      </c>
      <c r="F71" t="s">
        <v>1244</v>
      </c>
      <c r="G71" t="s">
        <v>564</v>
      </c>
      <c r="H71" t="s">
        <v>670</v>
      </c>
      <c r="I71" t="s">
        <v>1086</v>
      </c>
      <c r="K71" s="13">
        <v>36.3751344</v>
      </c>
      <c r="L71" s="13">
        <v>-105.6028968</v>
      </c>
    </row>
    <row r="72" spans="1:13" x14ac:dyDescent="0.25">
      <c r="A72" t="s">
        <v>1224</v>
      </c>
      <c r="B72" t="s">
        <v>1059</v>
      </c>
      <c r="C72" t="s">
        <v>743</v>
      </c>
      <c r="D72" s="15">
        <v>56787.5</v>
      </c>
      <c r="E72" t="s">
        <v>1018</v>
      </c>
      <c r="F72" t="s">
        <v>1244</v>
      </c>
      <c r="G72" t="s">
        <v>1092</v>
      </c>
      <c r="H72" t="s">
        <v>1019</v>
      </c>
      <c r="I72" t="s">
        <v>1017</v>
      </c>
      <c r="K72" s="13">
        <v>33.948126000000002</v>
      </c>
      <c r="L72" s="13">
        <v>-103.656136</v>
      </c>
    </row>
    <row r="73" spans="1:13" x14ac:dyDescent="0.25">
      <c r="A73" t="s">
        <v>1225</v>
      </c>
      <c r="B73" t="s">
        <v>1059</v>
      </c>
      <c r="C73" t="s">
        <v>967</v>
      </c>
      <c r="D73" s="15">
        <v>60000</v>
      </c>
      <c r="E73" t="s">
        <v>986</v>
      </c>
      <c r="F73" t="s">
        <v>1244</v>
      </c>
      <c r="G73" t="s">
        <v>1093</v>
      </c>
      <c r="H73" t="s">
        <v>987</v>
      </c>
      <c r="I73" t="s">
        <v>985</v>
      </c>
      <c r="K73" s="13">
        <v>32.387233000000002</v>
      </c>
      <c r="L73" s="13">
        <v>-104.21494199999999</v>
      </c>
    </row>
    <row r="74" spans="1:13" x14ac:dyDescent="0.25">
      <c r="A74" t="s">
        <v>1226</v>
      </c>
      <c r="B74" t="s">
        <v>1059</v>
      </c>
      <c r="C74" t="s">
        <v>15</v>
      </c>
      <c r="D74" s="15">
        <v>29452.720000000001</v>
      </c>
      <c r="E74" t="s">
        <v>989</v>
      </c>
      <c r="F74" t="s">
        <v>1244</v>
      </c>
      <c r="G74" t="s">
        <v>729</v>
      </c>
      <c r="H74" t="s">
        <v>990</v>
      </c>
      <c r="I74" t="s">
        <v>988</v>
      </c>
      <c r="K74" s="13">
        <v>34.423335000000002</v>
      </c>
      <c r="L74" s="13">
        <v>-103.193409</v>
      </c>
    </row>
    <row r="75" spans="1:13" x14ac:dyDescent="0.25">
      <c r="A75" t="s">
        <v>1227</v>
      </c>
      <c r="B75" t="s">
        <v>1059</v>
      </c>
      <c r="C75" t="s">
        <v>18</v>
      </c>
      <c r="D75" s="15">
        <v>60000</v>
      </c>
      <c r="E75" t="s">
        <v>1055</v>
      </c>
      <c r="F75" t="s">
        <v>1244</v>
      </c>
      <c r="G75" t="s">
        <v>567</v>
      </c>
      <c r="H75" t="s">
        <v>993</v>
      </c>
      <c r="I75" t="s">
        <v>991</v>
      </c>
      <c r="K75" s="13">
        <v>33.413590999999997</v>
      </c>
      <c r="L75" s="13">
        <v>-104.513611</v>
      </c>
    </row>
    <row r="76" spans="1:13" x14ac:dyDescent="0.25">
      <c r="A76" t="s">
        <v>1229</v>
      </c>
      <c r="B76" t="s">
        <v>1059</v>
      </c>
      <c r="C76" t="s">
        <v>960</v>
      </c>
      <c r="D76" s="15">
        <v>59999.5</v>
      </c>
      <c r="E76" t="s">
        <v>1005</v>
      </c>
      <c r="F76" t="s">
        <v>1244</v>
      </c>
      <c r="G76" t="s">
        <v>575</v>
      </c>
      <c r="H76" t="s">
        <v>1006</v>
      </c>
      <c r="I76" t="s">
        <v>1004</v>
      </c>
      <c r="K76" s="13">
        <v>36.902081000000003</v>
      </c>
      <c r="L76" s="13">
        <v>-104.44056500000001</v>
      </c>
    </row>
    <row r="77" spans="1:13" x14ac:dyDescent="0.25">
      <c r="A77" t="s">
        <v>1230</v>
      </c>
      <c r="B77" t="s">
        <v>1059</v>
      </c>
      <c r="C77" t="s">
        <v>960</v>
      </c>
      <c r="D77" s="15">
        <v>32436.33</v>
      </c>
      <c r="E77" t="s">
        <v>1056</v>
      </c>
      <c r="F77" t="s">
        <v>1244</v>
      </c>
      <c r="G77" t="s">
        <v>575</v>
      </c>
      <c r="H77" t="s">
        <v>1009</v>
      </c>
      <c r="I77" t="s">
        <v>1007</v>
      </c>
      <c r="K77" s="13">
        <v>36.902081000000003</v>
      </c>
      <c r="L77" s="13">
        <v>-104.44056500000001</v>
      </c>
      <c r="M77" t="s">
        <v>1061</v>
      </c>
    </row>
    <row r="78" spans="1:13" x14ac:dyDescent="0.25">
      <c r="A78" t="s">
        <v>1230</v>
      </c>
      <c r="B78" t="s">
        <v>1059</v>
      </c>
      <c r="C78" t="s">
        <v>744</v>
      </c>
      <c r="D78" s="15">
        <v>54800</v>
      </c>
      <c r="E78" t="s">
        <v>1113</v>
      </c>
      <c r="F78" t="s">
        <v>1244</v>
      </c>
      <c r="G78" t="s">
        <v>562</v>
      </c>
      <c r="H78" t="s">
        <v>1125</v>
      </c>
      <c r="I78" t="s">
        <v>1135</v>
      </c>
      <c r="K78" s="13">
        <v>35.314928299999998</v>
      </c>
      <c r="L78" s="13">
        <v>-106.5461576</v>
      </c>
      <c r="M78" t="s">
        <v>1061</v>
      </c>
    </row>
    <row r="79" spans="1:13" x14ac:dyDescent="0.25">
      <c r="A79" t="s">
        <v>1231</v>
      </c>
      <c r="B79" t="s">
        <v>1059</v>
      </c>
      <c r="C79" t="s">
        <v>965</v>
      </c>
      <c r="D79" s="15">
        <v>40000</v>
      </c>
      <c r="E79" t="s">
        <v>1012</v>
      </c>
      <c r="F79" t="s">
        <v>1244</v>
      </c>
      <c r="G79" t="s">
        <v>1097</v>
      </c>
      <c r="H79" t="s">
        <v>1013</v>
      </c>
      <c r="I79" t="s">
        <v>1011</v>
      </c>
      <c r="K79" s="13">
        <v>36.009945999999999</v>
      </c>
      <c r="L79" s="13">
        <v>-106.96839300000001</v>
      </c>
    </row>
    <row r="80" spans="1:13" x14ac:dyDescent="0.25">
      <c r="A80" t="s">
        <v>1232</v>
      </c>
      <c r="B80" t="s">
        <v>1059</v>
      </c>
      <c r="C80" t="s">
        <v>1245</v>
      </c>
      <c r="D80" s="15">
        <v>59999.99</v>
      </c>
      <c r="E80" t="s">
        <v>1108</v>
      </c>
      <c r="F80" t="s">
        <v>1244</v>
      </c>
      <c r="G80" t="s">
        <v>1118</v>
      </c>
      <c r="H80" t="s">
        <v>1119</v>
      </c>
      <c r="I80" t="s">
        <v>1129</v>
      </c>
      <c r="K80" s="12" t="s">
        <v>1140</v>
      </c>
      <c r="L80" s="12" t="s">
        <v>1141</v>
      </c>
      <c r="M80" t="s">
        <v>1142</v>
      </c>
    </row>
    <row r="81" spans="1:13" x14ac:dyDescent="0.25">
      <c r="A81" t="s">
        <v>1233</v>
      </c>
      <c r="B81" t="s">
        <v>1059</v>
      </c>
      <c r="C81" t="s">
        <v>959</v>
      </c>
      <c r="D81" s="15">
        <v>38874.423076923078</v>
      </c>
      <c r="E81" t="s">
        <v>1115</v>
      </c>
      <c r="F81" t="s">
        <v>1244</v>
      </c>
      <c r="G81" t="s">
        <v>1098</v>
      </c>
      <c r="H81" t="s">
        <v>1126</v>
      </c>
      <c r="I81" t="s">
        <v>1130</v>
      </c>
      <c r="K81" s="13" t="s">
        <v>1143</v>
      </c>
      <c r="L81" s="13" t="s">
        <v>1144</v>
      </c>
      <c r="M81" t="s">
        <v>1142</v>
      </c>
    </row>
    <row r="82" spans="1:13" x14ac:dyDescent="0.25">
      <c r="A82" t="s">
        <v>1232</v>
      </c>
      <c r="B82" t="s">
        <v>1059</v>
      </c>
      <c r="C82" t="s">
        <v>959</v>
      </c>
      <c r="D82" s="15">
        <v>55634.03</v>
      </c>
      <c r="E82" t="s">
        <v>1057</v>
      </c>
      <c r="F82" t="s">
        <v>1244</v>
      </c>
      <c r="G82" t="s">
        <v>1098</v>
      </c>
      <c r="H82" t="s">
        <v>1023</v>
      </c>
      <c r="I82" t="s">
        <v>1021</v>
      </c>
      <c r="K82" s="13">
        <v>35.944915999999999</v>
      </c>
      <c r="L82" s="13">
        <v>-104.196393</v>
      </c>
    </row>
    <row r="83" spans="1:13" x14ac:dyDescent="0.25">
      <c r="A83" t="s">
        <v>1236</v>
      </c>
      <c r="B83" t="s">
        <v>1059</v>
      </c>
      <c r="C83" t="s">
        <v>962</v>
      </c>
      <c r="D83" s="15">
        <v>50399.25</v>
      </c>
      <c r="E83" t="s">
        <v>1116</v>
      </c>
      <c r="F83" t="s">
        <v>1244</v>
      </c>
      <c r="G83" t="s">
        <v>573</v>
      </c>
      <c r="H83" t="s">
        <v>1127</v>
      </c>
      <c r="I83" t="s">
        <v>1033</v>
      </c>
      <c r="K83" s="13">
        <v>32.934573</v>
      </c>
      <c r="L83" s="13">
        <v>-105.972875</v>
      </c>
      <c r="M83" t="s">
        <v>1148</v>
      </c>
    </row>
    <row r="84" spans="1:13" x14ac:dyDescent="0.25">
      <c r="A84" t="s">
        <v>1237</v>
      </c>
      <c r="B84" t="s">
        <v>1059</v>
      </c>
      <c r="C84" t="s">
        <v>962</v>
      </c>
      <c r="D84" s="15">
        <v>20000</v>
      </c>
      <c r="E84" t="s">
        <v>1034</v>
      </c>
      <c r="F84" t="s">
        <v>1244</v>
      </c>
      <c r="G84" t="s">
        <v>573</v>
      </c>
      <c r="H84" t="s">
        <v>1035</v>
      </c>
      <c r="I84" t="s">
        <v>1033</v>
      </c>
      <c r="K84" s="13">
        <v>32.934573</v>
      </c>
      <c r="L84" s="13">
        <v>-105.972875</v>
      </c>
    </row>
    <row r="85" spans="1:13" x14ac:dyDescent="0.25">
      <c r="A85" t="s">
        <v>1231</v>
      </c>
      <c r="B85" t="s">
        <v>1059</v>
      </c>
      <c r="C85" t="s">
        <v>1246</v>
      </c>
      <c r="D85" s="15">
        <v>59631.56</v>
      </c>
      <c r="E85" t="s">
        <v>1110</v>
      </c>
      <c r="F85" t="s">
        <v>1244</v>
      </c>
      <c r="G85" t="s">
        <v>568</v>
      </c>
      <c r="H85" t="s">
        <v>1122</v>
      </c>
      <c r="I85" t="s">
        <v>1133</v>
      </c>
      <c r="K85" s="12" t="s">
        <v>1154</v>
      </c>
      <c r="L85" s="12" t="s">
        <v>1153</v>
      </c>
      <c r="M85" t="s">
        <v>1142</v>
      </c>
    </row>
    <row r="86" spans="1:13" x14ac:dyDescent="0.25">
      <c r="A86" t="s">
        <v>1236</v>
      </c>
      <c r="B86" t="s">
        <v>1059</v>
      </c>
      <c r="C86" t="s">
        <v>13</v>
      </c>
      <c r="D86" s="15">
        <v>22442</v>
      </c>
      <c r="E86" t="s">
        <v>989</v>
      </c>
      <c r="F86" t="s">
        <v>1244</v>
      </c>
      <c r="G86" t="s">
        <v>565</v>
      </c>
      <c r="H86" t="s">
        <v>990</v>
      </c>
      <c r="I86" t="s">
        <v>1044</v>
      </c>
      <c r="K86" s="13">
        <v>34.446567600000002</v>
      </c>
      <c r="L86" s="13">
        <v>-103.4953802</v>
      </c>
      <c r="M86" t="s">
        <v>1062</v>
      </c>
    </row>
    <row r="87" spans="1:13" x14ac:dyDescent="0.25">
      <c r="A87" t="s">
        <v>1241</v>
      </c>
      <c r="B87" t="s">
        <v>1059</v>
      </c>
      <c r="C87" t="s">
        <v>22</v>
      </c>
      <c r="D87" s="15">
        <v>59976.800000000003</v>
      </c>
      <c r="E87" t="s">
        <v>1049</v>
      </c>
      <c r="F87" t="s">
        <v>1244</v>
      </c>
      <c r="G87" t="s">
        <v>564</v>
      </c>
      <c r="H87" t="s">
        <v>1050</v>
      </c>
      <c r="I87" t="s">
        <v>1048</v>
      </c>
      <c r="K87" s="13">
        <v>36.375253999999998</v>
      </c>
      <c r="L87" s="13">
        <v>-105.602852</v>
      </c>
    </row>
    <row r="88" spans="1:13" x14ac:dyDescent="0.25">
      <c r="A88" t="s">
        <v>1242</v>
      </c>
      <c r="B88" t="s">
        <v>1059</v>
      </c>
      <c r="C88" t="s">
        <v>736</v>
      </c>
      <c r="D88" s="15">
        <v>3899.09</v>
      </c>
      <c r="E88" t="s">
        <v>1052</v>
      </c>
      <c r="F88" t="s">
        <v>1244</v>
      </c>
      <c r="G88" t="s">
        <v>730</v>
      </c>
      <c r="H88" t="s">
        <v>1053</v>
      </c>
      <c r="I88" t="s">
        <v>1051</v>
      </c>
      <c r="K88" s="13">
        <v>33.538507000000003</v>
      </c>
      <c r="L88" s="13">
        <v>-105.61116</v>
      </c>
    </row>
    <row r="89" spans="1:13" x14ac:dyDescent="0.25">
      <c r="A89" t="s">
        <v>1224</v>
      </c>
      <c r="B89" t="s">
        <v>1059</v>
      </c>
      <c r="C89" t="s">
        <v>1106</v>
      </c>
      <c r="D89" s="15">
        <v>38874.423076923078</v>
      </c>
      <c r="E89" t="s">
        <v>1114</v>
      </c>
      <c r="F89" t="s">
        <v>1244</v>
      </c>
      <c r="G89" t="s">
        <v>1098</v>
      </c>
      <c r="H89" t="s">
        <v>1126</v>
      </c>
      <c r="I89" t="s">
        <v>1021</v>
      </c>
      <c r="K89" s="12" t="s">
        <v>1155</v>
      </c>
      <c r="L89" s="12" t="s">
        <v>1156</v>
      </c>
    </row>
    <row r="90" spans="1:13" x14ac:dyDescent="0.25">
      <c r="A90" t="s">
        <v>1180</v>
      </c>
      <c r="B90" t="s">
        <v>26</v>
      </c>
      <c r="C90" t="s">
        <v>23</v>
      </c>
      <c r="D90" s="15">
        <v>99999.91</v>
      </c>
      <c r="E90" t="s">
        <v>110</v>
      </c>
      <c r="F90" t="s">
        <v>732</v>
      </c>
      <c r="G90" t="s">
        <v>568</v>
      </c>
      <c r="H90" t="s">
        <v>726</v>
      </c>
      <c r="I90" t="s">
        <v>1087</v>
      </c>
      <c r="K90" s="13">
        <v>36.748162000000001</v>
      </c>
      <c r="L90" s="13">
        <v>-108.17692099999999</v>
      </c>
    </row>
    <row r="91" spans="1:13" x14ac:dyDescent="0.25">
      <c r="A91" t="s">
        <v>1182</v>
      </c>
      <c r="B91" t="s">
        <v>26</v>
      </c>
      <c r="C91" t="s">
        <v>19</v>
      </c>
      <c r="D91" s="15">
        <v>54114.93</v>
      </c>
      <c r="E91" t="s">
        <v>106</v>
      </c>
      <c r="F91" t="s">
        <v>732</v>
      </c>
      <c r="G91" t="s">
        <v>562</v>
      </c>
      <c r="H91" t="s">
        <v>699</v>
      </c>
      <c r="I91" t="s">
        <v>1084</v>
      </c>
      <c r="K91" s="13">
        <v>35.607810899999997</v>
      </c>
      <c r="L91" s="13">
        <v>-106.3485252</v>
      </c>
      <c r="M91" t="s">
        <v>1091</v>
      </c>
    </row>
    <row r="92" spans="1:13" x14ac:dyDescent="0.25">
      <c r="A92" t="s">
        <v>1238</v>
      </c>
      <c r="B92" t="s">
        <v>1059</v>
      </c>
      <c r="C92" t="s">
        <v>1105</v>
      </c>
      <c r="D92" s="15">
        <v>50327.45</v>
      </c>
      <c r="E92" t="s">
        <v>1112</v>
      </c>
      <c r="F92" t="s">
        <v>732</v>
      </c>
      <c r="G92" t="s">
        <v>562</v>
      </c>
      <c r="H92" t="s">
        <v>1124</v>
      </c>
      <c r="I92" t="s">
        <v>1137</v>
      </c>
      <c r="K92" s="12" t="s">
        <v>1149</v>
      </c>
      <c r="L92" s="12" t="s">
        <v>1150</v>
      </c>
      <c r="M92" t="s">
        <v>1142</v>
      </c>
    </row>
    <row r="93" spans="1:13" x14ac:dyDescent="0.25">
      <c r="A93" t="s">
        <v>1239</v>
      </c>
      <c r="B93" t="s">
        <v>1059</v>
      </c>
      <c r="C93" t="s">
        <v>963</v>
      </c>
      <c r="D93" s="15">
        <v>58079.09</v>
      </c>
      <c r="E93" t="s">
        <v>1042</v>
      </c>
      <c r="F93" t="s">
        <v>732</v>
      </c>
      <c r="G93" t="s">
        <v>563</v>
      </c>
      <c r="H93" t="s">
        <v>1043</v>
      </c>
      <c r="I93" t="s">
        <v>1041</v>
      </c>
      <c r="K93" s="13">
        <v>35.970525000000002</v>
      </c>
      <c r="L93" s="13">
        <v>-106.088044</v>
      </c>
    </row>
    <row r="94" spans="1:13" x14ac:dyDescent="0.25">
      <c r="A94" t="s">
        <v>1234</v>
      </c>
      <c r="B94" t="s">
        <v>1059</v>
      </c>
      <c r="C94" t="s">
        <v>1102</v>
      </c>
      <c r="D94" s="15">
        <v>59503.17</v>
      </c>
      <c r="E94" t="s">
        <v>1042</v>
      </c>
      <c r="F94" t="s">
        <v>732</v>
      </c>
      <c r="G94" t="s">
        <v>563</v>
      </c>
      <c r="H94" t="s">
        <v>1120</v>
      </c>
      <c r="I94" t="s">
        <v>1131</v>
      </c>
      <c r="K94" s="13">
        <v>35.970525000000002</v>
      </c>
      <c r="L94" s="13">
        <v>-106.088044</v>
      </c>
      <c r="M94" t="s">
        <v>1142</v>
      </c>
    </row>
    <row r="95" spans="1:13" x14ac:dyDescent="0.25">
      <c r="A95" t="s">
        <v>1181</v>
      </c>
      <c r="B95" t="s">
        <v>26</v>
      </c>
      <c r="C95" t="s">
        <v>25</v>
      </c>
      <c r="D95" s="15">
        <v>6850.78</v>
      </c>
      <c r="E95" t="s">
        <v>103</v>
      </c>
      <c r="F95" t="s">
        <v>1095</v>
      </c>
      <c r="G95" t="s">
        <v>561</v>
      </c>
      <c r="H95" t="s">
        <v>635</v>
      </c>
      <c r="I95" t="s">
        <v>1082</v>
      </c>
      <c r="K95" s="13">
        <v>35.639465299999998</v>
      </c>
      <c r="L95" s="13">
        <v>-105.9946795</v>
      </c>
    </row>
    <row r="96" spans="1:13" x14ac:dyDescent="0.25">
      <c r="A96" t="s">
        <v>1235</v>
      </c>
      <c r="B96" t="s">
        <v>1059</v>
      </c>
      <c r="C96" t="s">
        <v>964</v>
      </c>
      <c r="D96" s="15">
        <v>28713.599999999999</v>
      </c>
      <c r="E96" t="s">
        <v>1058</v>
      </c>
      <c r="F96" t="s">
        <v>1095</v>
      </c>
      <c r="G96" t="s">
        <v>572</v>
      </c>
      <c r="H96" t="s">
        <v>1027</v>
      </c>
      <c r="I96" t="s">
        <v>1054</v>
      </c>
      <c r="K96" s="13">
        <v>32.282516000000001</v>
      </c>
      <c r="L96" s="13">
        <v>-106.757047</v>
      </c>
    </row>
  </sheetData>
  <autoFilter ref="A1:M96" xr:uid="{4739D535-8404-4057-84F3-CE0C86EB5A50}">
    <sortState xmlns:xlrd2="http://schemas.microsoft.com/office/spreadsheetml/2017/richdata2" ref="A2:M96">
      <sortCondition ref="F1:F9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AA0EB-1C28-4F1F-916C-B91AF57D0F11}">
  <dimension ref="A1:H21"/>
  <sheetViews>
    <sheetView zoomScale="85" zoomScaleNormal="85" workbookViewId="0">
      <selection activeCell="B28" sqref="B28"/>
    </sheetView>
  </sheetViews>
  <sheetFormatPr defaultRowHeight="15" x14ac:dyDescent="0.25"/>
  <cols>
    <col min="1" max="1" width="50" customWidth="1"/>
    <col min="2" max="6" width="71.42578125" customWidth="1"/>
    <col min="7" max="7" width="68.140625" customWidth="1"/>
    <col min="8" max="8" width="71.42578125" customWidth="1"/>
  </cols>
  <sheetData>
    <row r="1" spans="1:8" x14ac:dyDescent="0.25">
      <c r="A1" t="s">
        <v>970</v>
      </c>
      <c r="B1" t="s">
        <v>971</v>
      </c>
      <c r="C1" t="s">
        <v>972</v>
      </c>
      <c r="D1" t="s">
        <v>973</v>
      </c>
      <c r="E1" t="s">
        <v>974</v>
      </c>
      <c r="F1" t="s">
        <v>975</v>
      </c>
      <c r="G1" t="s">
        <v>976</v>
      </c>
      <c r="H1" t="s">
        <v>977</v>
      </c>
    </row>
    <row r="2" spans="1:8" x14ac:dyDescent="0.25">
      <c r="A2">
        <v>20</v>
      </c>
      <c r="B2" t="s">
        <v>978</v>
      </c>
      <c r="C2" t="s">
        <v>979</v>
      </c>
      <c r="D2" t="s">
        <v>980</v>
      </c>
      <c r="E2" t="s">
        <v>981</v>
      </c>
      <c r="F2" t="s">
        <v>982</v>
      </c>
      <c r="G2" t="s">
        <v>983</v>
      </c>
      <c r="H2" t="s">
        <v>984</v>
      </c>
    </row>
    <row r="3" spans="1:8" x14ac:dyDescent="0.25">
      <c r="A3">
        <v>18</v>
      </c>
      <c r="B3" t="s">
        <v>731</v>
      </c>
      <c r="C3" t="s">
        <v>979</v>
      </c>
      <c r="D3" t="s">
        <v>979</v>
      </c>
      <c r="E3" t="s">
        <v>819</v>
      </c>
      <c r="F3" t="s">
        <v>985</v>
      </c>
      <c r="G3" t="s">
        <v>986</v>
      </c>
      <c r="H3" t="s">
        <v>987</v>
      </c>
    </row>
    <row r="4" spans="1:8" x14ac:dyDescent="0.25">
      <c r="A4">
        <v>9</v>
      </c>
      <c r="B4" t="s">
        <v>731</v>
      </c>
      <c r="C4" t="s">
        <v>979</v>
      </c>
      <c r="D4" t="s">
        <v>979</v>
      </c>
      <c r="E4" t="s">
        <v>15</v>
      </c>
      <c r="F4" t="s">
        <v>988</v>
      </c>
      <c r="G4" t="s">
        <v>989</v>
      </c>
      <c r="H4" t="s">
        <v>990</v>
      </c>
    </row>
    <row r="5" spans="1:8" x14ac:dyDescent="0.25">
      <c r="A5">
        <v>14</v>
      </c>
      <c r="B5" t="s">
        <v>731</v>
      </c>
      <c r="C5" t="s">
        <v>979</v>
      </c>
      <c r="D5" t="s">
        <v>979</v>
      </c>
      <c r="E5" t="s">
        <v>691</v>
      </c>
      <c r="F5" t="s">
        <v>991</v>
      </c>
      <c r="G5" t="s">
        <v>992</v>
      </c>
      <c r="H5" t="s">
        <v>993</v>
      </c>
    </row>
    <row r="6" spans="1:8" x14ac:dyDescent="0.25">
      <c r="A6">
        <v>16</v>
      </c>
      <c r="B6" t="s">
        <v>994</v>
      </c>
      <c r="C6" t="s">
        <v>979</v>
      </c>
      <c r="D6" t="s">
        <v>979</v>
      </c>
      <c r="E6" t="s">
        <v>966</v>
      </c>
      <c r="F6" t="s">
        <v>995</v>
      </c>
      <c r="G6" t="s">
        <v>996</v>
      </c>
      <c r="H6" t="s">
        <v>997</v>
      </c>
    </row>
    <row r="7" spans="1:8" x14ac:dyDescent="0.25">
      <c r="A7">
        <v>2</v>
      </c>
      <c r="B7" t="s">
        <v>998</v>
      </c>
      <c r="C7" t="s">
        <v>979</v>
      </c>
      <c r="D7" t="s">
        <v>979</v>
      </c>
      <c r="E7" t="s">
        <v>999</v>
      </c>
      <c r="F7" t="s">
        <v>1000</v>
      </c>
      <c r="G7" t="s">
        <v>1001</v>
      </c>
      <c r="H7" t="s">
        <v>1002</v>
      </c>
    </row>
    <row r="8" spans="1:8" x14ac:dyDescent="0.25">
      <c r="A8">
        <v>5</v>
      </c>
      <c r="B8" t="s">
        <v>731</v>
      </c>
      <c r="C8" t="s">
        <v>979</v>
      </c>
      <c r="D8" t="s">
        <v>979</v>
      </c>
      <c r="E8" t="s">
        <v>1003</v>
      </c>
      <c r="F8" t="s">
        <v>1004</v>
      </c>
      <c r="G8" t="s">
        <v>1005</v>
      </c>
      <c r="H8" t="s">
        <v>1006</v>
      </c>
    </row>
    <row r="9" spans="1:8" x14ac:dyDescent="0.25">
      <c r="A9">
        <v>17</v>
      </c>
      <c r="B9" t="s">
        <v>731</v>
      </c>
      <c r="C9" t="s">
        <v>979</v>
      </c>
      <c r="D9" t="s">
        <v>979</v>
      </c>
      <c r="E9" t="s">
        <v>1003</v>
      </c>
      <c r="F9" t="s">
        <v>1007</v>
      </c>
      <c r="G9" t="s">
        <v>1008</v>
      </c>
      <c r="H9" t="s">
        <v>1009</v>
      </c>
    </row>
    <row r="10" spans="1:8" x14ac:dyDescent="0.25">
      <c r="A10">
        <v>15</v>
      </c>
      <c r="B10" t="s">
        <v>731</v>
      </c>
      <c r="C10" t="s">
        <v>979</v>
      </c>
      <c r="D10" t="s">
        <v>979</v>
      </c>
      <c r="E10" t="s">
        <v>1010</v>
      </c>
      <c r="F10" t="s">
        <v>1011</v>
      </c>
      <c r="G10" t="s">
        <v>1012</v>
      </c>
      <c r="H10" t="s">
        <v>1013</v>
      </c>
    </row>
    <row r="11" spans="1:8" x14ac:dyDescent="0.25">
      <c r="A11">
        <v>3</v>
      </c>
      <c r="B11" t="s">
        <v>1014</v>
      </c>
      <c r="C11" t="s">
        <v>1015</v>
      </c>
      <c r="D11" t="s">
        <v>979</v>
      </c>
      <c r="E11" t="s">
        <v>1016</v>
      </c>
      <c r="F11" t="s">
        <v>1017</v>
      </c>
      <c r="G11" t="s">
        <v>1018</v>
      </c>
      <c r="H11" t="s">
        <v>1019</v>
      </c>
    </row>
    <row r="12" spans="1:8" x14ac:dyDescent="0.25">
      <c r="A12">
        <v>1</v>
      </c>
      <c r="B12" t="s">
        <v>731</v>
      </c>
      <c r="C12" t="s">
        <v>979</v>
      </c>
      <c r="D12" t="s">
        <v>979</v>
      </c>
      <c r="E12" t="s">
        <v>1020</v>
      </c>
      <c r="F12" t="s">
        <v>1021</v>
      </c>
      <c r="G12" t="s">
        <v>1022</v>
      </c>
      <c r="H12" t="s">
        <v>1023</v>
      </c>
    </row>
    <row r="13" spans="1:8" x14ac:dyDescent="0.25">
      <c r="A13">
        <v>12</v>
      </c>
      <c r="B13" t="s">
        <v>1024</v>
      </c>
      <c r="C13" t="s">
        <v>979</v>
      </c>
      <c r="D13" t="s">
        <v>979</v>
      </c>
      <c r="E13" t="s">
        <v>1025</v>
      </c>
      <c r="F13" t="s">
        <v>1054</v>
      </c>
      <c r="G13" t="s">
        <v>1026</v>
      </c>
      <c r="H13" t="s">
        <v>1027</v>
      </c>
    </row>
    <row r="14" spans="1:8" x14ac:dyDescent="0.25">
      <c r="A14">
        <v>6</v>
      </c>
      <c r="B14" t="s">
        <v>978</v>
      </c>
      <c r="C14" t="s">
        <v>979</v>
      </c>
      <c r="D14" t="s">
        <v>1028</v>
      </c>
      <c r="E14" t="s">
        <v>1029</v>
      </c>
      <c r="F14" t="s">
        <v>1030</v>
      </c>
      <c r="G14" t="s">
        <v>1031</v>
      </c>
      <c r="H14" t="s">
        <v>1032</v>
      </c>
    </row>
    <row r="15" spans="1:8" x14ac:dyDescent="0.25">
      <c r="A15">
        <v>7</v>
      </c>
      <c r="B15" t="s">
        <v>731</v>
      </c>
      <c r="C15" t="s">
        <v>979</v>
      </c>
      <c r="D15" t="s">
        <v>979</v>
      </c>
      <c r="E15" t="s">
        <v>912</v>
      </c>
      <c r="F15" t="s">
        <v>1033</v>
      </c>
      <c r="G15" t="s">
        <v>1034</v>
      </c>
      <c r="H15" t="s">
        <v>1035</v>
      </c>
    </row>
    <row r="16" spans="1:8" x14ac:dyDescent="0.25">
      <c r="A16">
        <v>4</v>
      </c>
      <c r="B16" t="s">
        <v>994</v>
      </c>
      <c r="C16" t="s">
        <v>979</v>
      </c>
      <c r="D16" t="s">
        <v>979</v>
      </c>
      <c r="E16" t="s">
        <v>1036</v>
      </c>
      <c r="F16" t="s">
        <v>1037</v>
      </c>
      <c r="G16" t="s">
        <v>1038</v>
      </c>
      <c r="H16" t="s">
        <v>1039</v>
      </c>
    </row>
    <row r="17" spans="1:8" x14ac:dyDescent="0.25">
      <c r="A17">
        <v>11</v>
      </c>
      <c r="B17" t="s">
        <v>732</v>
      </c>
      <c r="C17" t="s">
        <v>979</v>
      </c>
      <c r="D17" t="s">
        <v>979</v>
      </c>
      <c r="E17" t="s">
        <v>1040</v>
      </c>
      <c r="F17" t="s">
        <v>1041</v>
      </c>
      <c r="G17" t="s">
        <v>1042</v>
      </c>
      <c r="H17" t="s">
        <v>1043</v>
      </c>
    </row>
    <row r="18" spans="1:8" x14ac:dyDescent="0.25">
      <c r="A18">
        <v>8</v>
      </c>
      <c r="B18" t="s">
        <v>731</v>
      </c>
      <c r="C18" t="s">
        <v>979</v>
      </c>
      <c r="D18" t="s">
        <v>979</v>
      </c>
      <c r="E18" t="s">
        <v>13</v>
      </c>
      <c r="F18" t="s">
        <v>1044</v>
      </c>
      <c r="G18" t="s">
        <v>989</v>
      </c>
      <c r="H18" t="s">
        <v>990</v>
      </c>
    </row>
    <row r="19" spans="1:8" x14ac:dyDescent="0.25">
      <c r="A19">
        <v>19</v>
      </c>
      <c r="B19" t="s">
        <v>978</v>
      </c>
      <c r="C19" t="s">
        <v>979</v>
      </c>
      <c r="D19" t="s">
        <v>968</v>
      </c>
      <c r="E19" t="s">
        <v>968</v>
      </c>
      <c r="F19" t="s">
        <v>1045</v>
      </c>
      <c r="G19" t="s">
        <v>1046</v>
      </c>
      <c r="H19" t="s">
        <v>1047</v>
      </c>
    </row>
    <row r="20" spans="1:8" x14ac:dyDescent="0.25">
      <c r="A20">
        <v>10</v>
      </c>
      <c r="B20" t="s">
        <v>731</v>
      </c>
      <c r="C20" t="s">
        <v>979</v>
      </c>
      <c r="D20" t="s">
        <v>979</v>
      </c>
      <c r="E20" t="s">
        <v>669</v>
      </c>
      <c r="F20" t="s">
        <v>1048</v>
      </c>
      <c r="G20" t="s">
        <v>1049</v>
      </c>
      <c r="H20" t="s">
        <v>1050</v>
      </c>
    </row>
    <row r="21" spans="1:8" x14ac:dyDescent="0.25">
      <c r="A21">
        <v>13</v>
      </c>
      <c r="B21" t="s">
        <v>731</v>
      </c>
      <c r="C21" t="s">
        <v>979</v>
      </c>
      <c r="D21" t="s">
        <v>979</v>
      </c>
      <c r="E21" t="s">
        <v>736</v>
      </c>
      <c r="F21" t="s">
        <v>1051</v>
      </c>
      <c r="G21" t="s">
        <v>1052</v>
      </c>
      <c r="H21" t="s">
        <v>1053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1B2E-627B-44D0-9C7C-4D7229E01C4B}">
  <dimension ref="A1:X42"/>
  <sheetViews>
    <sheetView topLeftCell="H1" workbookViewId="0">
      <selection activeCell="I4" sqref="I4"/>
    </sheetView>
  </sheetViews>
  <sheetFormatPr defaultRowHeight="15" x14ac:dyDescent="0.25"/>
  <cols>
    <col min="1" max="1" width="33.85546875" customWidth="1"/>
    <col min="2" max="2" width="70" customWidth="1"/>
    <col min="3" max="8" width="71.42578125" customWidth="1"/>
    <col min="9" max="9" width="17.7109375" customWidth="1"/>
    <col min="10" max="13" width="71.42578125" customWidth="1"/>
    <col min="14" max="14" width="66.42578125" customWidth="1"/>
    <col min="15" max="22" width="71.42578125" customWidth="1"/>
    <col min="23" max="23" width="52.140625" customWidth="1"/>
    <col min="24" max="24" width="47.7109375" customWidth="1"/>
  </cols>
  <sheetData>
    <row r="1" spans="1:24" ht="24" x14ac:dyDescent="0.25">
      <c r="A1" s="8" t="s">
        <v>763</v>
      </c>
      <c r="B1" s="9" t="s">
        <v>764</v>
      </c>
      <c r="C1" s="9" t="s">
        <v>765</v>
      </c>
      <c r="D1" s="9" t="s">
        <v>766</v>
      </c>
      <c r="E1" s="9" t="s">
        <v>767</v>
      </c>
      <c r="F1" s="9" t="s">
        <v>768</v>
      </c>
      <c r="G1" s="9" t="s">
        <v>769</v>
      </c>
      <c r="H1" s="9" t="s">
        <v>770</v>
      </c>
      <c r="I1" s="9" t="s">
        <v>771</v>
      </c>
      <c r="J1" s="9" t="s">
        <v>772</v>
      </c>
      <c r="K1" s="9" t="s">
        <v>773</v>
      </c>
      <c r="L1" s="9" t="s">
        <v>774</v>
      </c>
      <c r="M1" s="9" t="s">
        <v>775</v>
      </c>
      <c r="N1" s="9" t="s">
        <v>776</v>
      </c>
      <c r="O1" s="9" t="s">
        <v>777</v>
      </c>
      <c r="P1" s="9" t="s">
        <v>778</v>
      </c>
      <c r="Q1" s="9" t="s">
        <v>779</v>
      </c>
      <c r="R1" s="9" t="s">
        <v>780</v>
      </c>
      <c r="S1" s="9" t="s">
        <v>781</v>
      </c>
      <c r="T1" s="9" t="s">
        <v>782</v>
      </c>
      <c r="U1" s="9" t="s">
        <v>783</v>
      </c>
      <c r="V1" s="9" t="s">
        <v>784</v>
      </c>
      <c r="W1" s="9" t="s">
        <v>785</v>
      </c>
      <c r="X1" s="10" t="s">
        <v>786</v>
      </c>
    </row>
    <row r="2" spans="1:24" x14ac:dyDescent="0.25">
      <c r="A2" s="6">
        <v>1</v>
      </c>
      <c r="B2" s="3" t="s">
        <v>787</v>
      </c>
      <c r="C2" s="3"/>
      <c r="D2" s="3"/>
      <c r="E2" s="3"/>
      <c r="F2" s="3"/>
      <c r="G2" s="3"/>
      <c r="H2" s="3"/>
      <c r="I2" s="4"/>
      <c r="K2" s="3"/>
      <c r="L2" s="3"/>
      <c r="M2" s="3" t="s">
        <v>788</v>
      </c>
      <c r="N2" s="3" t="s">
        <v>789</v>
      </c>
      <c r="O2" s="3" t="s">
        <v>790</v>
      </c>
      <c r="P2" s="3"/>
      <c r="Q2" s="3" t="s">
        <v>624</v>
      </c>
      <c r="R2" s="3" t="s">
        <v>600</v>
      </c>
      <c r="S2" s="3" t="s">
        <v>601</v>
      </c>
      <c r="T2" s="5">
        <v>87537</v>
      </c>
      <c r="U2" s="3" t="s">
        <v>625</v>
      </c>
      <c r="V2" s="3" t="s">
        <v>626</v>
      </c>
      <c r="W2" s="3" t="s">
        <v>791</v>
      </c>
      <c r="X2" s="7" t="s">
        <v>792</v>
      </c>
    </row>
    <row r="3" spans="1:24" x14ac:dyDescent="0.25">
      <c r="A3" s="6">
        <v>9</v>
      </c>
      <c r="B3" s="3" t="s">
        <v>787</v>
      </c>
      <c r="C3" s="3"/>
      <c r="D3" s="3"/>
      <c r="E3" s="3"/>
      <c r="F3" s="3"/>
      <c r="G3" s="3"/>
      <c r="H3" s="3"/>
      <c r="I3" s="4"/>
      <c r="K3" s="3"/>
      <c r="L3" s="3"/>
      <c r="M3" s="3" t="s">
        <v>788</v>
      </c>
      <c r="N3" s="3" t="s">
        <v>789</v>
      </c>
      <c r="O3" s="3" t="s">
        <v>790</v>
      </c>
      <c r="P3" s="3"/>
      <c r="Q3" s="3" t="s">
        <v>624</v>
      </c>
      <c r="R3" s="3" t="s">
        <v>600</v>
      </c>
      <c r="S3" s="3" t="s">
        <v>601</v>
      </c>
      <c r="T3" s="5">
        <v>87537</v>
      </c>
      <c r="U3" s="3" t="s">
        <v>625</v>
      </c>
      <c r="V3" s="3" t="s">
        <v>626</v>
      </c>
      <c r="W3" s="3" t="s">
        <v>793</v>
      </c>
      <c r="X3" s="7" t="s">
        <v>794</v>
      </c>
    </row>
    <row r="4" spans="1:24" x14ac:dyDescent="0.25">
      <c r="A4" s="6">
        <v>36</v>
      </c>
      <c r="B4" s="3" t="s">
        <v>731</v>
      </c>
      <c r="C4" s="3" t="s">
        <v>795</v>
      </c>
      <c r="D4" s="3" t="s">
        <v>796</v>
      </c>
      <c r="E4" s="3"/>
      <c r="F4" s="3" t="s">
        <v>797</v>
      </c>
      <c r="G4" s="3" t="s">
        <v>600</v>
      </c>
      <c r="H4" s="3" t="s">
        <v>601</v>
      </c>
      <c r="I4" s="3" t="str">
        <f>D4&amp;" "&amp;E4&amp;" "&amp;F4&amp;" "&amp;G4&amp;" "&amp;H4</f>
        <v>704 State St.  Elida NM US</v>
      </c>
      <c r="J4" s="5">
        <v>88116</v>
      </c>
      <c r="K4" s="3" t="s">
        <v>798</v>
      </c>
      <c r="L4" s="3" t="s">
        <v>799</v>
      </c>
      <c r="M4" s="3" t="s">
        <v>800</v>
      </c>
      <c r="N4" s="3"/>
      <c r="O4" s="3"/>
      <c r="P4" s="3"/>
      <c r="Q4" s="3"/>
      <c r="R4" s="3"/>
      <c r="S4" s="3"/>
      <c r="U4" s="3"/>
      <c r="V4" s="3"/>
      <c r="W4" s="3" t="s">
        <v>801</v>
      </c>
      <c r="X4" s="7" t="s">
        <v>802</v>
      </c>
    </row>
    <row r="5" spans="1:24" x14ac:dyDescent="0.25">
      <c r="A5" s="6">
        <v>5</v>
      </c>
      <c r="B5" s="3" t="s">
        <v>731</v>
      </c>
      <c r="C5" s="3" t="s">
        <v>803</v>
      </c>
      <c r="D5" s="3" t="s">
        <v>804</v>
      </c>
      <c r="E5" s="3"/>
      <c r="F5" s="3" t="s">
        <v>805</v>
      </c>
      <c r="G5" s="3" t="s">
        <v>600</v>
      </c>
      <c r="H5" s="3" t="s">
        <v>601</v>
      </c>
      <c r="I5" s="3" t="str">
        <f t="shared" ref="I5:I42" si="0">D5&amp;" "&amp;E5&amp;" "&amp;F5&amp;" "&amp;G5&amp;" "&amp;H5</f>
        <v>3000 HWY 187  Salem NM US</v>
      </c>
      <c r="J5" s="5">
        <v>87941</v>
      </c>
      <c r="K5" s="3" t="s">
        <v>806</v>
      </c>
      <c r="L5" s="3" t="s">
        <v>807</v>
      </c>
      <c r="M5" s="3" t="s">
        <v>800</v>
      </c>
      <c r="N5" s="3"/>
      <c r="O5" s="3"/>
      <c r="P5" s="3"/>
      <c r="Q5" s="3"/>
      <c r="R5" s="3"/>
      <c r="S5" s="3"/>
      <c r="U5" s="3"/>
      <c r="V5" s="3"/>
      <c r="W5" s="3" t="s">
        <v>808</v>
      </c>
      <c r="X5" s="7" t="s">
        <v>809</v>
      </c>
    </row>
    <row r="6" spans="1:24" x14ac:dyDescent="0.25">
      <c r="A6" s="6">
        <v>12</v>
      </c>
      <c r="B6" s="3" t="s">
        <v>731</v>
      </c>
      <c r="C6" s="3" t="s">
        <v>803</v>
      </c>
      <c r="D6" s="3" t="s">
        <v>804</v>
      </c>
      <c r="E6" s="3"/>
      <c r="F6" s="3" t="s">
        <v>805</v>
      </c>
      <c r="G6" s="3" t="s">
        <v>600</v>
      </c>
      <c r="H6" s="3" t="s">
        <v>601</v>
      </c>
      <c r="I6" s="3" t="str">
        <f t="shared" si="0"/>
        <v>3000 HWY 187  Salem NM US</v>
      </c>
      <c r="J6" s="5">
        <v>87941</v>
      </c>
      <c r="K6" s="3" t="s">
        <v>806</v>
      </c>
      <c r="L6" s="3" t="s">
        <v>807</v>
      </c>
      <c r="M6" s="3" t="s">
        <v>800</v>
      </c>
      <c r="N6" s="3"/>
      <c r="O6" s="3"/>
      <c r="P6" s="3"/>
      <c r="Q6" s="3"/>
      <c r="R6" s="3"/>
      <c r="S6" s="3"/>
      <c r="U6" s="3"/>
      <c r="V6" s="3"/>
      <c r="W6" s="3" t="s">
        <v>810</v>
      </c>
      <c r="X6" s="7" t="s">
        <v>811</v>
      </c>
    </row>
    <row r="7" spans="1:24" x14ac:dyDescent="0.25">
      <c r="A7" s="6">
        <v>23</v>
      </c>
      <c r="B7" s="3" t="s">
        <v>731</v>
      </c>
      <c r="C7" s="3" t="s">
        <v>803</v>
      </c>
      <c r="D7" s="3" t="s">
        <v>804</v>
      </c>
      <c r="E7" s="3"/>
      <c r="F7" s="3" t="s">
        <v>805</v>
      </c>
      <c r="G7" s="3" t="s">
        <v>600</v>
      </c>
      <c r="H7" s="3" t="s">
        <v>601</v>
      </c>
      <c r="I7" s="3" t="str">
        <f t="shared" si="0"/>
        <v>3000 HWY 187  Salem NM US</v>
      </c>
      <c r="J7" s="5">
        <v>87941</v>
      </c>
      <c r="K7" s="3" t="s">
        <v>806</v>
      </c>
      <c r="L7" s="3" t="s">
        <v>807</v>
      </c>
      <c r="M7" s="3" t="s">
        <v>800</v>
      </c>
      <c r="N7" s="3"/>
      <c r="O7" s="3"/>
      <c r="P7" s="3"/>
      <c r="Q7" s="3"/>
      <c r="R7" s="3"/>
      <c r="S7" s="3"/>
      <c r="U7" s="3"/>
      <c r="V7" s="3"/>
      <c r="W7" s="3" t="s">
        <v>812</v>
      </c>
      <c r="X7" s="7" t="s">
        <v>813</v>
      </c>
    </row>
    <row r="8" spans="1:24" x14ac:dyDescent="0.25">
      <c r="A8" s="6">
        <v>24</v>
      </c>
      <c r="B8" s="3" t="s">
        <v>731</v>
      </c>
      <c r="C8" s="3" t="s">
        <v>814</v>
      </c>
      <c r="D8" s="3" t="s">
        <v>804</v>
      </c>
      <c r="E8" s="3"/>
      <c r="F8" s="3" t="s">
        <v>805</v>
      </c>
      <c r="G8" s="3" t="s">
        <v>600</v>
      </c>
      <c r="H8" s="3" t="s">
        <v>601</v>
      </c>
      <c r="I8" s="3" t="str">
        <f t="shared" si="0"/>
        <v>3000 HWY 187  Salem NM US</v>
      </c>
      <c r="J8" s="5">
        <v>87941</v>
      </c>
      <c r="K8" s="3" t="s">
        <v>806</v>
      </c>
      <c r="L8" s="3" t="s">
        <v>807</v>
      </c>
      <c r="M8" s="3" t="s">
        <v>800</v>
      </c>
      <c r="N8" s="3"/>
      <c r="O8" s="3"/>
      <c r="P8" s="3"/>
      <c r="Q8" s="3"/>
      <c r="R8" s="3"/>
      <c r="S8" s="3"/>
      <c r="U8" s="3"/>
      <c r="V8" s="3"/>
      <c r="W8" s="3" t="s">
        <v>815</v>
      </c>
      <c r="X8" s="7" t="s">
        <v>816</v>
      </c>
    </row>
    <row r="9" spans="1:24" x14ac:dyDescent="0.25">
      <c r="A9" s="6">
        <v>14</v>
      </c>
      <c r="B9" s="3" t="s">
        <v>731</v>
      </c>
      <c r="C9" s="3" t="s">
        <v>814</v>
      </c>
      <c r="D9" s="3" t="s">
        <v>804</v>
      </c>
      <c r="E9" s="3"/>
      <c r="F9" s="3" t="s">
        <v>805</v>
      </c>
      <c r="G9" s="3" t="s">
        <v>600</v>
      </c>
      <c r="H9" s="3" t="s">
        <v>601</v>
      </c>
      <c r="I9" s="3" t="str">
        <f t="shared" si="0"/>
        <v>3000 HWY 187  Salem NM US</v>
      </c>
      <c r="J9" s="5">
        <v>87941</v>
      </c>
      <c r="K9" s="3" t="s">
        <v>806</v>
      </c>
      <c r="L9" s="3" t="s">
        <v>807</v>
      </c>
      <c r="M9" s="3" t="s">
        <v>800</v>
      </c>
      <c r="N9" s="3"/>
      <c r="O9" s="3"/>
      <c r="P9" s="3"/>
      <c r="Q9" s="3"/>
      <c r="R9" s="3"/>
      <c r="S9" s="3"/>
      <c r="U9" s="3"/>
      <c r="V9" s="3"/>
      <c r="W9" s="3" t="s">
        <v>817</v>
      </c>
      <c r="X9" s="7" t="s">
        <v>818</v>
      </c>
    </row>
    <row r="10" spans="1:24" x14ac:dyDescent="0.25">
      <c r="A10" s="6">
        <v>35</v>
      </c>
      <c r="B10" s="3" t="s">
        <v>731</v>
      </c>
      <c r="C10" s="3" t="s">
        <v>819</v>
      </c>
      <c r="D10" s="3" t="s">
        <v>820</v>
      </c>
      <c r="E10" s="3"/>
      <c r="F10" s="3" t="s">
        <v>821</v>
      </c>
      <c r="G10" s="3" t="s">
        <v>600</v>
      </c>
      <c r="H10" s="3" t="s">
        <v>601</v>
      </c>
      <c r="I10" s="3" t="str">
        <f t="shared" si="0"/>
        <v>3219 S Canal St  Carlsbad NM US</v>
      </c>
      <c r="J10" s="5">
        <v>88220</v>
      </c>
      <c r="K10" s="3" t="s">
        <v>822</v>
      </c>
      <c r="L10" s="3" t="s">
        <v>823</v>
      </c>
      <c r="M10" s="3" t="s">
        <v>788</v>
      </c>
      <c r="N10" s="3"/>
      <c r="O10" s="3"/>
      <c r="P10" s="3"/>
      <c r="Q10" s="3"/>
      <c r="R10" s="3"/>
      <c r="S10" s="3"/>
      <c r="U10" s="3"/>
      <c r="V10" s="3"/>
      <c r="W10" s="3" t="s">
        <v>824</v>
      </c>
      <c r="X10" s="7" t="s">
        <v>825</v>
      </c>
    </row>
    <row r="11" spans="1:24" x14ac:dyDescent="0.25">
      <c r="A11" s="6">
        <v>41</v>
      </c>
      <c r="B11" s="3" t="s">
        <v>731</v>
      </c>
      <c r="C11" s="3" t="s">
        <v>826</v>
      </c>
      <c r="D11" s="3" t="s">
        <v>827</v>
      </c>
      <c r="E11" s="3"/>
      <c r="F11" s="3" t="s">
        <v>828</v>
      </c>
      <c r="G11" s="3" t="s">
        <v>600</v>
      </c>
      <c r="H11" s="3" t="s">
        <v>601</v>
      </c>
      <c r="I11" s="3" t="str">
        <f t="shared" si="0"/>
        <v>307 12th Street  Carrizozo NM US</v>
      </c>
      <c r="J11" s="5">
        <v>88301</v>
      </c>
      <c r="K11" s="3" t="s">
        <v>829</v>
      </c>
      <c r="L11" s="3" t="s">
        <v>830</v>
      </c>
      <c r="M11" s="3" t="s">
        <v>800</v>
      </c>
      <c r="N11" s="3"/>
      <c r="O11" s="3"/>
      <c r="P11" s="3"/>
      <c r="Q11" s="3"/>
      <c r="R11" s="3"/>
      <c r="S11" s="3"/>
      <c r="U11" s="3"/>
      <c r="V11" s="3"/>
      <c r="W11" s="3" t="s">
        <v>831</v>
      </c>
      <c r="X11" s="7" t="s">
        <v>832</v>
      </c>
    </row>
    <row r="12" spans="1:24" x14ac:dyDescent="0.25">
      <c r="A12" s="6">
        <v>21</v>
      </c>
      <c r="B12" s="3" t="s">
        <v>731</v>
      </c>
      <c r="C12" s="3" t="s">
        <v>685</v>
      </c>
      <c r="D12" s="3" t="s">
        <v>681</v>
      </c>
      <c r="E12" s="3"/>
      <c r="F12" s="3" t="s">
        <v>682</v>
      </c>
      <c r="G12" s="3" t="s">
        <v>600</v>
      </c>
      <c r="H12" s="3" t="s">
        <v>601</v>
      </c>
      <c r="I12" s="3" t="str">
        <f t="shared" si="0"/>
        <v>918 Parkland Dr.  Clovis NM US</v>
      </c>
      <c r="J12" s="5">
        <v>88101</v>
      </c>
      <c r="K12" s="3" t="s">
        <v>684</v>
      </c>
      <c r="L12" s="3" t="s">
        <v>683</v>
      </c>
      <c r="M12" s="3" t="s">
        <v>788</v>
      </c>
      <c r="N12" s="3"/>
      <c r="O12" s="3"/>
      <c r="P12" s="3"/>
      <c r="Q12" s="3"/>
      <c r="R12" s="3"/>
      <c r="S12" s="3"/>
      <c r="U12" s="3"/>
      <c r="V12" s="3"/>
      <c r="W12" s="3" t="s">
        <v>833</v>
      </c>
      <c r="X12" s="7" t="s">
        <v>834</v>
      </c>
    </row>
    <row r="13" spans="1:24" x14ac:dyDescent="0.25">
      <c r="A13" s="6">
        <v>33</v>
      </c>
      <c r="B13" s="3" t="s">
        <v>731</v>
      </c>
      <c r="C13" s="3" t="s">
        <v>691</v>
      </c>
      <c r="D13" s="3" t="s">
        <v>835</v>
      </c>
      <c r="E13" s="3"/>
      <c r="F13" s="3" t="s">
        <v>688</v>
      </c>
      <c r="G13" s="3" t="s">
        <v>630</v>
      </c>
      <c r="H13" s="3" t="s">
        <v>601</v>
      </c>
      <c r="I13" s="3" t="str">
        <f t="shared" si="0"/>
        <v>1703 N Garden Ave. Suite A  Roswell New Mexico US</v>
      </c>
      <c r="J13" s="5">
        <v>88201</v>
      </c>
      <c r="K13" s="3" t="s">
        <v>690</v>
      </c>
      <c r="L13" s="3" t="s">
        <v>689</v>
      </c>
      <c r="M13" s="3" t="s">
        <v>800</v>
      </c>
      <c r="N13" s="3"/>
      <c r="O13" s="3"/>
      <c r="P13" s="3"/>
      <c r="Q13" s="3"/>
      <c r="R13" s="3"/>
      <c r="S13" s="3"/>
      <c r="U13" s="3"/>
      <c r="V13" s="3"/>
      <c r="W13" s="3" t="s">
        <v>836</v>
      </c>
      <c r="X13" s="7" t="s">
        <v>754</v>
      </c>
    </row>
    <row r="14" spans="1:24" x14ac:dyDescent="0.25">
      <c r="A14" s="6">
        <v>30</v>
      </c>
      <c r="B14" s="3" t="s">
        <v>731</v>
      </c>
      <c r="C14" s="3" t="s">
        <v>637</v>
      </c>
      <c r="D14" s="3" t="s">
        <v>837</v>
      </c>
      <c r="E14" s="3"/>
      <c r="F14" s="3" t="s">
        <v>645</v>
      </c>
      <c r="G14" s="3" t="s">
        <v>600</v>
      </c>
      <c r="H14" s="3" t="s">
        <v>601</v>
      </c>
      <c r="I14" s="3" t="str">
        <f t="shared" si="0"/>
        <v>100 Sun Ave NE  Albuquerque NM US</v>
      </c>
      <c r="J14" s="5">
        <v>87109</v>
      </c>
      <c r="K14" s="3" t="s">
        <v>838</v>
      </c>
      <c r="L14" s="3" t="s">
        <v>839</v>
      </c>
      <c r="M14" s="3" t="s">
        <v>800</v>
      </c>
      <c r="N14" s="3"/>
      <c r="O14" s="3"/>
      <c r="P14" s="3"/>
      <c r="Q14" s="3"/>
      <c r="R14" s="3"/>
      <c r="S14" s="3"/>
      <c r="U14" s="3"/>
      <c r="V14" s="3"/>
      <c r="W14" s="3" t="s">
        <v>840</v>
      </c>
      <c r="X14" s="7" t="s">
        <v>841</v>
      </c>
    </row>
    <row r="15" spans="1:24" x14ac:dyDescent="0.25">
      <c r="A15" s="6">
        <v>37</v>
      </c>
      <c r="B15" s="3" t="s">
        <v>731</v>
      </c>
      <c r="C15" s="3" t="s">
        <v>637</v>
      </c>
      <c r="D15" s="3" t="s">
        <v>842</v>
      </c>
      <c r="E15" s="3"/>
      <c r="F15" s="3" t="s">
        <v>645</v>
      </c>
      <c r="G15" s="3" t="s">
        <v>600</v>
      </c>
      <c r="H15" s="3" t="s">
        <v>601</v>
      </c>
      <c r="I15" s="3" t="str">
        <f t="shared" si="0"/>
        <v>100 Sun Avenue, Suite 160  Albuquerque NM US</v>
      </c>
      <c r="J15" s="5">
        <v>87109</v>
      </c>
      <c r="K15" s="3" t="s">
        <v>838</v>
      </c>
      <c r="L15" s="3" t="s">
        <v>839</v>
      </c>
      <c r="M15" s="3" t="s">
        <v>800</v>
      </c>
      <c r="N15" s="3"/>
      <c r="O15" s="3"/>
      <c r="P15" s="3"/>
      <c r="Q15" s="3"/>
      <c r="R15" s="3"/>
      <c r="S15" s="3"/>
      <c r="U15" s="3"/>
      <c r="V15" s="3"/>
      <c r="W15" s="3" t="s">
        <v>843</v>
      </c>
      <c r="X15" s="7" t="s">
        <v>844</v>
      </c>
    </row>
    <row r="16" spans="1:24" x14ac:dyDescent="0.25">
      <c r="A16" s="6">
        <v>31</v>
      </c>
      <c r="B16" s="3" t="s">
        <v>731</v>
      </c>
      <c r="C16" s="3" t="s">
        <v>734</v>
      </c>
      <c r="D16" s="3" t="s">
        <v>845</v>
      </c>
      <c r="E16" s="3"/>
      <c r="F16" s="3" t="s">
        <v>645</v>
      </c>
      <c r="G16" s="3" t="s">
        <v>600</v>
      </c>
      <c r="H16" s="3" t="s">
        <v>601</v>
      </c>
      <c r="I16" s="3" t="str">
        <f t="shared" si="0"/>
        <v>100 Sun Ave Suite 160  Albuquerque NM US</v>
      </c>
      <c r="J16" s="5">
        <v>87108</v>
      </c>
      <c r="K16" s="3" t="s">
        <v>838</v>
      </c>
      <c r="L16" s="3" t="s">
        <v>839</v>
      </c>
      <c r="M16" s="3" t="s">
        <v>800</v>
      </c>
      <c r="N16" s="3"/>
      <c r="O16" s="3"/>
      <c r="P16" s="3"/>
      <c r="Q16" s="3"/>
      <c r="R16" s="3"/>
      <c r="S16" s="3"/>
      <c r="U16" s="3"/>
      <c r="V16" s="3"/>
      <c r="W16" s="3" t="s">
        <v>846</v>
      </c>
      <c r="X16" s="7" t="s">
        <v>847</v>
      </c>
    </row>
    <row r="17" spans="1:24" x14ac:dyDescent="0.25">
      <c r="A17" s="6">
        <v>34</v>
      </c>
      <c r="B17" s="3" t="s">
        <v>731</v>
      </c>
      <c r="C17" s="3" t="s">
        <v>848</v>
      </c>
      <c r="D17" s="3" t="s">
        <v>849</v>
      </c>
      <c r="E17" s="3" t="s">
        <v>850</v>
      </c>
      <c r="F17" s="3" t="s">
        <v>851</v>
      </c>
      <c r="G17" s="3" t="s">
        <v>600</v>
      </c>
      <c r="H17" s="3" t="s">
        <v>601</v>
      </c>
      <c r="I17" s="3" t="str">
        <f t="shared" si="0"/>
        <v>245 Park Avenue Suite 206 Raton NM US</v>
      </c>
      <c r="J17" s="5">
        <v>87740</v>
      </c>
      <c r="K17" s="3" t="s">
        <v>852</v>
      </c>
      <c r="L17" s="3" t="s">
        <v>853</v>
      </c>
      <c r="M17" s="3" t="s">
        <v>788</v>
      </c>
      <c r="N17" s="3"/>
      <c r="O17" s="3"/>
      <c r="P17" s="3"/>
      <c r="Q17" s="3"/>
      <c r="R17" s="3"/>
      <c r="S17" s="3"/>
      <c r="U17" s="3"/>
      <c r="V17" s="3"/>
      <c r="W17" s="3" t="s">
        <v>854</v>
      </c>
      <c r="X17" s="7" t="s">
        <v>855</v>
      </c>
    </row>
    <row r="18" spans="1:24" x14ac:dyDescent="0.25">
      <c r="A18" s="6">
        <v>3</v>
      </c>
      <c r="B18" s="3" t="s">
        <v>731</v>
      </c>
      <c r="C18" s="3" t="s">
        <v>856</v>
      </c>
      <c r="D18" s="3" t="s">
        <v>849</v>
      </c>
      <c r="E18" s="3"/>
      <c r="F18" s="3" t="s">
        <v>851</v>
      </c>
      <c r="G18" s="3" t="s">
        <v>630</v>
      </c>
      <c r="H18" s="3" t="s">
        <v>601</v>
      </c>
      <c r="I18" s="3" t="str">
        <f t="shared" si="0"/>
        <v>245 Park Avenue  Raton New Mexico US</v>
      </c>
      <c r="J18" s="5">
        <v>87747</v>
      </c>
      <c r="K18" s="3" t="s">
        <v>852</v>
      </c>
      <c r="L18" s="3" t="s">
        <v>853</v>
      </c>
      <c r="M18" s="3" t="s">
        <v>788</v>
      </c>
      <c r="N18" s="3"/>
      <c r="O18" s="3"/>
      <c r="P18" s="3"/>
      <c r="Q18" s="3"/>
      <c r="R18" s="3"/>
      <c r="S18" s="3"/>
      <c r="U18" s="3"/>
      <c r="V18" s="3"/>
      <c r="W18" s="3" t="s">
        <v>857</v>
      </c>
      <c r="X18" s="7" t="s">
        <v>858</v>
      </c>
    </row>
    <row r="19" spans="1:24" x14ac:dyDescent="0.25">
      <c r="A19" s="6">
        <v>40</v>
      </c>
      <c r="B19" s="3" t="s">
        <v>731</v>
      </c>
      <c r="C19" s="3" t="s">
        <v>856</v>
      </c>
      <c r="D19" s="3" t="s">
        <v>849</v>
      </c>
      <c r="E19" s="3"/>
      <c r="F19" s="3" t="s">
        <v>851</v>
      </c>
      <c r="G19" s="3" t="s">
        <v>630</v>
      </c>
      <c r="H19" s="3" t="s">
        <v>601</v>
      </c>
      <c r="I19" s="3" t="str">
        <f t="shared" si="0"/>
        <v>245 Park Avenue  Raton New Mexico US</v>
      </c>
      <c r="J19" s="5">
        <v>87740</v>
      </c>
      <c r="K19" s="3" t="s">
        <v>852</v>
      </c>
      <c r="L19" s="3" t="s">
        <v>853</v>
      </c>
      <c r="M19" s="3" t="s">
        <v>788</v>
      </c>
      <c r="N19" s="3"/>
      <c r="O19" s="3"/>
      <c r="P19" s="3"/>
      <c r="Q19" s="3"/>
      <c r="R19" s="3"/>
      <c r="S19" s="3"/>
      <c r="U19" s="3"/>
      <c r="V19" s="3"/>
      <c r="W19" s="3" t="s">
        <v>859</v>
      </c>
      <c r="X19" s="7" t="s">
        <v>860</v>
      </c>
    </row>
    <row r="20" spans="1:24" x14ac:dyDescent="0.25">
      <c r="A20" s="6">
        <v>38</v>
      </c>
      <c r="B20" s="3" t="s">
        <v>731</v>
      </c>
      <c r="C20" s="3" t="s">
        <v>861</v>
      </c>
      <c r="D20" s="3" t="s">
        <v>862</v>
      </c>
      <c r="E20" s="3"/>
      <c r="F20" s="3" t="s">
        <v>560</v>
      </c>
      <c r="G20" s="3" t="s">
        <v>630</v>
      </c>
      <c r="H20" s="3" t="s">
        <v>601</v>
      </c>
      <c r="I20" s="3" t="str">
        <f t="shared" si="0"/>
        <v>282 S Camino Del Pueblo Room 1-A  Bernalillo New Mexico US</v>
      </c>
      <c r="J20" s="5">
        <v>87004</v>
      </c>
      <c r="K20" s="3" t="s">
        <v>863</v>
      </c>
      <c r="L20" s="3" t="s">
        <v>864</v>
      </c>
      <c r="M20" s="3" t="s">
        <v>800</v>
      </c>
      <c r="N20" s="3"/>
      <c r="O20" s="3"/>
      <c r="P20" s="3"/>
      <c r="Q20" s="3"/>
      <c r="R20" s="3"/>
      <c r="S20" s="3"/>
      <c r="U20" s="3"/>
      <c r="V20" s="3"/>
      <c r="W20" s="3" t="s">
        <v>865</v>
      </c>
      <c r="X20" s="7" t="s">
        <v>756</v>
      </c>
    </row>
    <row r="21" spans="1:24" x14ac:dyDescent="0.25">
      <c r="A21" s="6">
        <v>27</v>
      </c>
      <c r="B21" s="3" t="s">
        <v>731</v>
      </c>
      <c r="C21" s="3" t="s">
        <v>866</v>
      </c>
      <c r="D21" s="3" t="s">
        <v>867</v>
      </c>
      <c r="E21" s="3"/>
      <c r="F21" s="3" t="s">
        <v>868</v>
      </c>
      <c r="G21" s="3" t="s">
        <v>600</v>
      </c>
      <c r="H21" s="3" t="s">
        <v>601</v>
      </c>
      <c r="I21" s="3" t="str">
        <f t="shared" si="0"/>
        <v>760 Stern Dr, Ste 118  Las Cruces NM US</v>
      </c>
      <c r="J21" s="5">
        <v>88005</v>
      </c>
      <c r="K21" s="3" t="s">
        <v>869</v>
      </c>
      <c r="L21" s="3" t="s">
        <v>870</v>
      </c>
      <c r="M21" s="3" t="s">
        <v>788</v>
      </c>
      <c r="N21" s="3"/>
      <c r="O21" s="3"/>
      <c r="P21" s="3"/>
      <c r="Q21" s="3"/>
      <c r="R21" s="3"/>
      <c r="S21" s="3"/>
      <c r="U21" s="3"/>
      <c r="V21" s="3"/>
      <c r="W21" s="3" t="s">
        <v>871</v>
      </c>
      <c r="X21" s="7" t="s">
        <v>872</v>
      </c>
    </row>
    <row r="22" spans="1:24" x14ac:dyDescent="0.25">
      <c r="A22" s="6">
        <v>13</v>
      </c>
      <c r="B22" s="3" t="s">
        <v>731</v>
      </c>
      <c r="C22" s="3" t="s">
        <v>873</v>
      </c>
      <c r="D22" s="3" t="s">
        <v>651</v>
      </c>
      <c r="E22" s="3" t="s">
        <v>874</v>
      </c>
      <c r="F22" s="3" t="s">
        <v>875</v>
      </c>
      <c r="G22" s="3" t="s">
        <v>600</v>
      </c>
      <c r="H22" s="3" t="s">
        <v>601</v>
      </c>
      <c r="I22" s="3" t="str">
        <f t="shared" si="0"/>
        <v>PO Box 58 715 S 5th ST ESTANCIA NM US</v>
      </c>
      <c r="J22" s="5">
        <v>87016</v>
      </c>
      <c r="K22" s="3" t="s">
        <v>876</v>
      </c>
      <c r="L22" s="3" t="s">
        <v>877</v>
      </c>
      <c r="M22" s="3" t="s">
        <v>800</v>
      </c>
      <c r="N22" s="3"/>
      <c r="O22" s="3"/>
      <c r="P22" s="3"/>
      <c r="Q22" s="3"/>
      <c r="R22" s="3"/>
      <c r="S22" s="3"/>
      <c r="U22" s="3"/>
      <c r="V22" s="3"/>
      <c r="W22" s="3" t="s">
        <v>878</v>
      </c>
      <c r="X22" s="7" t="s">
        <v>879</v>
      </c>
    </row>
    <row r="23" spans="1:24" x14ac:dyDescent="0.25">
      <c r="A23" s="6">
        <v>8</v>
      </c>
      <c r="B23" s="3" t="s">
        <v>731</v>
      </c>
      <c r="C23" s="3" t="s">
        <v>693</v>
      </c>
      <c r="D23" s="3" t="s">
        <v>676</v>
      </c>
      <c r="E23" s="3"/>
      <c r="F23" s="3" t="s">
        <v>677</v>
      </c>
      <c r="G23" s="3" t="s">
        <v>630</v>
      </c>
      <c r="H23" s="3" t="s">
        <v>601</v>
      </c>
      <c r="I23" s="3" t="str">
        <f t="shared" si="0"/>
        <v>586 S Ninth St  Santa Rosa New Mexico US</v>
      </c>
      <c r="J23" s="5">
        <v>88435</v>
      </c>
      <c r="K23" s="3" t="s">
        <v>679</v>
      </c>
      <c r="L23" s="3" t="s">
        <v>678</v>
      </c>
      <c r="M23" s="3" t="s">
        <v>788</v>
      </c>
      <c r="N23" s="3"/>
      <c r="O23" s="3"/>
      <c r="P23" s="3"/>
      <c r="Q23" s="3"/>
      <c r="R23" s="3"/>
      <c r="S23" s="3"/>
      <c r="U23" s="3"/>
      <c r="V23" s="3"/>
      <c r="W23" s="3" t="s">
        <v>880</v>
      </c>
      <c r="X23" s="7" t="s">
        <v>746</v>
      </c>
    </row>
    <row r="24" spans="1:24" x14ac:dyDescent="0.25">
      <c r="A24" s="6">
        <v>29</v>
      </c>
      <c r="B24" s="3" t="s">
        <v>731</v>
      </c>
      <c r="C24" s="3" t="s">
        <v>693</v>
      </c>
      <c r="D24" s="3" t="s">
        <v>676</v>
      </c>
      <c r="E24" s="3"/>
      <c r="F24" s="3" t="s">
        <v>677</v>
      </c>
      <c r="G24" s="3" t="s">
        <v>630</v>
      </c>
      <c r="H24" s="3" t="s">
        <v>601</v>
      </c>
      <c r="I24" s="3" t="str">
        <f t="shared" si="0"/>
        <v>586 S Ninth St  Santa Rosa New Mexico US</v>
      </c>
      <c r="J24" s="5">
        <v>88435</v>
      </c>
      <c r="K24" s="3" t="s">
        <v>679</v>
      </c>
      <c r="L24" s="3" t="s">
        <v>678</v>
      </c>
      <c r="M24" s="3" t="s">
        <v>788</v>
      </c>
      <c r="N24" s="3"/>
      <c r="O24" s="3"/>
      <c r="P24" s="3"/>
      <c r="Q24" s="3"/>
      <c r="R24" s="3"/>
      <c r="S24" s="3"/>
      <c r="U24" s="3"/>
      <c r="V24" s="3"/>
      <c r="W24" s="3" t="s">
        <v>881</v>
      </c>
      <c r="X24" s="7" t="s">
        <v>752</v>
      </c>
    </row>
    <row r="25" spans="1:24" x14ac:dyDescent="0.25">
      <c r="A25" s="6">
        <v>15</v>
      </c>
      <c r="B25" s="3" t="s">
        <v>731</v>
      </c>
      <c r="C25" s="3" t="s">
        <v>882</v>
      </c>
      <c r="D25" s="3" t="s">
        <v>883</v>
      </c>
      <c r="E25" s="3"/>
      <c r="F25" s="3" t="s">
        <v>884</v>
      </c>
      <c r="G25" s="3" t="s">
        <v>630</v>
      </c>
      <c r="H25" s="3" t="s">
        <v>601</v>
      </c>
      <c r="I25" s="3" t="str">
        <f t="shared" si="0"/>
        <v>111 N. Oxford  Hagerman New Mexico US</v>
      </c>
      <c r="J25" s="5">
        <v>88232</v>
      </c>
      <c r="K25" s="3" t="s">
        <v>885</v>
      </c>
      <c r="L25" s="3" t="s">
        <v>886</v>
      </c>
      <c r="M25" s="3" t="s">
        <v>800</v>
      </c>
      <c r="N25" s="3"/>
      <c r="O25" s="3"/>
      <c r="P25" s="3"/>
      <c r="Q25" s="3"/>
      <c r="R25" s="3"/>
      <c r="S25" s="3"/>
      <c r="U25" s="3"/>
      <c r="V25" s="3"/>
      <c r="W25" s="3" t="s">
        <v>887</v>
      </c>
      <c r="X25" s="7" t="s">
        <v>748</v>
      </c>
    </row>
    <row r="26" spans="1:24" x14ac:dyDescent="0.25">
      <c r="A26" s="6">
        <v>2</v>
      </c>
      <c r="B26" s="3" t="s">
        <v>731</v>
      </c>
      <c r="C26" s="3" t="s">
        <v>888</v>
      </c>
      <c r="D26" s="3" t="s">
        <v>889</v>
      </c>
      <c r="E26" s="3"/>
      <c r="F26" s="3" t="s">
        <v>890</v>
      </c>
      <c r="G26" s="3" t="s">
        <v>600</v>
      </c>
      <c r="H26" s="3" t="s">
        <v>601</v>
      </c>
      <c r="I26" s="3" t="str">
        <f t="shared" si="0"/>
        <v>405 Duncan Hwy  Lordsburg NM US</v>
      </c>
      <c r="J26" s="5">
        <v>88045</v>
      </c>
      <c r="K26" s="3" t="s">
        <v>891</v>
      </c>
      <c r="L26" s="3" t="s">
        <v>892</v>
      </c>
      <c r="M26" s="3" t="s">
        <v>788</v>
      </c>
      <c r="N26" s="3"/>
      <c r="O26" s="3"/>
      <c r="P26" s="3"/>
      <c r="Q26" s="3"/>
      <c r="R26" s="3"/>
      <c r="S26" s="3"/>
      <c r="U26" s="3"/>
      <c r="V26" s="3"/>
      <c r="W26" s="3" t="s">
        <v>893</v>
      </c>
      <c r="X26" s="7" t="s">
        <v>745</v>
      </c>
    </row>
    <row r="27" spans="1:24" x14ac:dyDescent="0.25">
      <c r="A27" s="6">
        <v>16</v>
      </c>
      <c r="B27" s="3" t="s">
        <v>731</v>
      </c>
      <c r="C27" s="3" t="s">
        <v>894</v>
      </c>
      <c r="D27" s="3" t="s">
        <v>895</v>
      </c>
      <c r="E27" s="3"/>
      <c r="F27" s="3" t="s">
        <v>896</v>
      </c>
      <c r="G27" s="3" t="s">
        <v>630</v>
      </c>
      <c r="H27" s="3" t="s">
        <v>601</v>
      </c>
      <c r="I27" s="3" t="str">
        <f t="shared" si="0"/>
        <v>2330 Historic US Highway 66  Gallup New Mexico US</v>
      </c>
      <c r="J27" s="5">
        <v>87301</v>
      </c>
      <c r="K27" s="3" t="s">
        <v>897</v>
      </c>
      <c r="L27" s="3" t="s">
        <v>898</v>
      </c>
      <c r="M27" s="3" t="s">
        <v>788</v>
      </c>
      <c r="N27" s="3"/>
      <c r="O27" s="3"/>
      <c r="P27" s="3"/>
      <c r="Q27" s="3"/>
      <c r="R27" s="3"/>
      <c r="S27" s="3"/>
      <c r="U27" s="3"/>
      <c r="V27" s="3"/>
      <c r="W27" s="3" t="s">
        <v>899</v>
      </c>
      <c r="X27" s="7" t="s">
        <v>900</v>
      </c>
    </row>
    <row r="28" spans="1:24" x14ac:dyDescent="0.25">
      <c r="A28" s="6">
        <v>28</v>
      </c>
      <c r="B28" s="3" t="s">
        <v>731</v>
      </c>
      <c r="C28" s="3" t="s">
        <v>894</v>
      </c>
      <c r="D28" s="3" t="s">
        <v>895</v>
      </c>
      <c r="E28" s="3"/>
      <c r="F28" s="3" t="s">
        <v>896</v>
      </c>
      <c r="G28" s="3" t="s">
        <v>630</v>
      </c>
      <c r="H28" s="3" t="s">
        <v>601</v>
      </c>
      <c r="I28" s="3" t="str">
        <f t="shared" si="0"/>
        <v>2330 Historic US Highway 66  Gallup New Mexico US</v>
      </c>
      <c r="J28" s="5">
        <v>87301</v>
      </c>
      <c r="K28" s="3" t="s">
        <v>897</v>
      </c>
      <c r="L28" s="3" t="s">
        <v>898</v>
      </c>
      <c r="M28" s="3" t="s">
        <v>788</v>
      </c>
      <c r="N28" s="3"/>
      <c r="O28" s="3"/>
      <c r="P28" s="3"/>
      <c r="Q28" s="3"/>
      <c r="R28" s="3"/>
      <c r="S28" s="3"/>
      <c r="U28" s="3"/>
      <c r="V28" s="3"/>
      <c r="W28" s="3" t="s">
        <v>901</v>
      </c>
      <c r="X28" s="7" t="s">
        <v>902</v>
      </c>
    </row>
    <row r="29" spans="1:24" x14ac:dyDescent="0.25">
      <c r="A29" s="6">
        <v>19</v>
      </c>
      <c r="B29" s="3" t="s">
        <v>731</v>
      </c>
      <c r="C29" s="3" t="s">
        <v>903</v>
      </c>
      <c r="D29" s="3" t="s">
        <v>904</v>
      </c>
      <c r="E29" s="3"/>
      <c r="F29" s="3" t="s">
        <v>905</v>
      </c>
      <c r="G29" s="3" t="s">
        <v>600</v>
      </c>
      <c r="H29" s="3" t="s">
        <v>601</v>
      </c>
      <c r="I29" s="3" t="str">
        <f t="shared" si="0"/>
        <v>411 Chicosa Street  Roy NM US</v>
      </c>
      <c r="J29" s="5">
        <v>87743</v>
      </c>
      <c r="K29" s="3" t="s">
        <v>906</v>
      </c>
      <c r="L29" s="3" t="s">
        <v>907</v>
      </c>
      <c r="M29" s="3" t="s">
        <v>800</v>
      </c>
      <c r="N29" s="3"/>
      <c r="O29" s="3"/>
      <c r="P29" s="3"/>
      <c r="Q29" s="3"/>
      <c r="R29" s="3"/>
      <c r="S29" s="3"/>
      <c r="U29" s="3"/>
      <c r="V29" s="3"/>
      <c r="W29" s="3" t="s">
        <v>908</v>
      </c>
      <c r="X29" s="7" t="s">
        <v>750</v>
      </c>
    </row>
    <row r="30" spans="1:24" x14ac:dyDescent="0.25">
      <c r="A30" s="6">
        <v>18</v>
      </c>
      <c r="B30" s="3" t="s">
        <v>731</v>
      </c>
      <c r="C30" s="3" t="s">
        <v>909</v>
      </c>
      <c r="D30" s="3" t="s">
        <v>904</v>
      </c>
      <c r="E30" s="3"/>
      <c r="F30" s="3" t="s">
        <v>905</v>
      </c>
      <c r="G30" s="3" t="s">
        <v>600</v>
      </c>
      <c r="H30" s="3" t="s">
        <v>601</v>
      </c>
      <c r="I30" s="3" t="str">
        <f t="shared" si="0"/>
        <v>411 Chicosa Street  Roy NM US</v>
      </c>
      <c r="J30" s="5">
        <v>87743</v>
      </c>
      <c r="K30" s="3" t="s">
        <v>906</v>
      </c>
      <c r="L30" s="3" t="s">
        <v>907</v>
      </c>
      <c r="M30" s="3" t="s">
        <v>800</v>
      </c>
      <c r="N30" s="3"/>
      <c r="O30" s="3"/>
      <c r="P30" s="3"/>
      <c r="Q30" s="3"/>
      <c r="R30" s="3"/>
      <c r="S30" s="3"/>
      <c r="U30" s="3"/>
      <c r="V30" s="3"/>
      <c r="W30" s="3" t="s">
        <v>910</v>
      </c>
      <c r="X30" s="7" t="s">
        <v>911</v>
      </c>
    </row>
    <row r="31" spans="1:24" x14ac:dyDescent="0.25">
      <c r="A31" s="6">
        <v>10</v>
      </c>
      <c r="B31" s="3" t="s">
        <v>731</v>
      </c>
      <c r="C31" s="3" t="s">
        <v>912</v>
      </c>
      <c r="D31" s="3" t="s">
        <v>913</v>
      </c>
      <c r="E31" s="3"/>
      <c r="F31" s="3" t="s">
        <v>914</v>
      </c>
      <c r="G31" s="3" t="s">
        <v>600</v>
      </c>
      <c r="H31" s="3" t="s">
        <v>601</v>
      </c>
      <c r="I31" s="3" t="str">
        <f t="shared" si="0"/>
        <v>3501 Mesa Village Dr  Alamogordo NM US</v>
      </c>
      <c r="J31" s="5">
        <v>88310</v>
      </c>
      <c r="K31" s="3" t="s">
        <v>915</v>
      </c>
      <c r="L31" s="3" t="s">
        <v>916</v>
      </c>
      <c r="M31" s="3" t="s">
        <v>788</v>
      </c>
      <c r="N31" s="3"/>
      <c r="O31" s="3"/>
      <c r="P31" s="3"/>
      <c r="Q31" s="3"/>
      <c r="R31" s="3"/>
      <c r="S31" s="3"/>
      <c r="U31" s="3"/>
      <c r="V31" s="3"/>
      <c r="W31" s="3" t="s">
        <v>917</v>
      </c>
      <c r="X31" s="7" t="s">
        <v>918</v>
      </c>
    </row>
    <row r="32" spans="1:24" x14ac:dyDescent="0.25">
      <c r="A32" s="6">
        <v>26</v>
      </c>
      <c r="B32" s="3" t="s">
        <v>731</v>
      </c>
      <c r="C32" s="3" t="s">
        <v>613</v>
      </c>
      <c r="D32" s="3" t="s">
        <v>919</v>
      </c>
      <c r="E32" s="3"/>
      <c r="F32" s="3" t="s">
        <v>610</v>
      </c>
      <c r="G32" s="3" t="s">
        <v>600</v>
      </c>
      <c r="H32" s="3" t="s">
        <v>601</v>
      </c>
      <c r="I32" s="3" t="str">
        <f t="shared" si="0"/>
        <v>050 New Mexico Highway 467, Portales NM  88130  Portales NM US</v>
      </c>
      <c r="J32" s="5">
        <v>88130</v>
      </c>
      <c r="K32" s="3" t="s">
        <v>612</v>
      </c>
      <c r="L32" s="3" t="s">
        <v>611</v>
      </c>
      <c r="M32" s="3" t="s">
        <v>788</v>
      </c>
      <c r="N32" s="3"/>
      <c r="O32" s="3"/>
      <c r="P32" s="3"/>
      <c r="Q32" s="3"/>
      <c r="R32" s="3"/>
      <c r="S32" s="3"/>
      <c r="U32" s="3"/>
      <c r="V32" s="3"/>
      <c r="W32" s="3" t="s">
        <v>920</v>
      </c>
      <c r="X32" s="7" t="s">
        <v>760</v>
      </c>
    </row>
    <row r="33" spans="1:24" x14ac:dyDescent="0.25">
      <c r="A33" s="6">
        <v>20</v>
      </c>
      <c r="B33" s="3" t="s">
        <v>731</v>
      </c>
      <c r="C33" s="3" t="s">
        <v>921</v>
      </c>
      <c r="D33" s="3" t="s">
        <v>922</v>
      </c>
      <c r="E33" s="3"/>
      <c r="F33" s="3" t="s">
        <v>561</v>
      </c>
      <c r="G33" s="3" t="s">
        <v>630</v>
      </c>
      <c r="H33" s="3" t="s">
        <v>601</v>
      </c>
      <c r="I33" s="3" t="str">
        <f t="shared" si="0"/>
        <v>4001 Office Ct. Drive, Suite 1001  Santa Fe New Mexico US</v>
      </c>
      <c r="J33" s="5">
        <v>87507</v>
      </c>
      <c r="K33" s="3" t="s">
        <v>923</v>
      </c>
      <c r="L33" s="3" t="s">
        <v>924</v>
      </c>
      <c r="M33" s="3" t="s">
        <v>788</v>
      </c>
      <c r="N33" s="3"/>
      <c r="O33" s="3"/>
      <c r="P33" s="3"/>
      <c r="Q33" s="3"/>
      <c r="R33" s="3"/>
      <c r="S33" s="3"/>
      <c r="U33" s="3"/>
      <c r="V33" s="3"/>
      <c r="W33" s="3" t="s">
        <v>925</v>
      </c>
      <c r="X33" s="7" t="s">
        <v>926</v>
      </c>
    </row>
    <row r="34" spans="1:24" x14ac:dyDescent="0.25">
      <c r="A34" s="6">
        <v>22</v>
      </c>
      <c r="B34" s="3" t="s">
        <v>731</v>
      </c>
      <c r="C34" s="3" t="s">
        <v>927</v>
      </c>
      <c r="D34" s="3" t="s">
        <v>928</v>
      </c>
      <c r="E34" s="3"/>
      <c r="F34" s="3" t="s">
        <v>929</v>
      </c>
      <c r="G34" s="3" t="s">
        <v>630</v>
      </c>
      <c r="H34" s="3" t="s">
        <v>601</v>
      </c>
      <c r="I34" s="3" t="str">
        <f t="shared" si="0"/>
        <v>2101 S. Broadway  Truth Or Consequences New Mexico US</v>
      </c>
      <c r="J34" s="5">
        <v>87901</v>
      </c>
      <c r="K34" s="3" t="s">
        <v>930</v>
      </c>
      <c r="L34" s="3" t="s">
        <v>931</v>
      </c>
      <c r="M34" s="3" t="s">
        <v>788</v>
      </c>
      <c r="N34" s="3"/>
      <c r="O34" s="3"/>
      <c r="P34" s="3"/>
      <c r="Q34" s="3"/>
      <c r="R34" s="3"/>
      <c r="S34" s="3"/>
      <c r="U34" s="3"/>
      <c r="V34" s="3"/>
      <c r="W34" s="3" t="s">
        <v>932</v>
      </c>
      <c r="X34" s="7" t="s">
        <v>751</v>
      </c>
    </row>
    <row r="35" spans="1:24" x14ac:dyDescent="0.25">
      <c r="A35" s="6">
        <v>17</v>
      </c>
      <c r="B35" s="3" t="s">
        <v>731</v>
      </c>
      <c r="C35" s="3" t="s">
        <v>571</v>
      </c>
      <c r="D35" s="3" t="s">
        <v>933</v>
      </c>
      <c r="E35" s="3"/>
      <c r="F35" s="3" t="s">
        <v>571</v>
      </c>
      <c r="G35" s="3" t="s">
        <v>600</v>
      </c>
      <c r="H35" s="3" t="s">
        <v>601</v>
      </c>
      <c r="I35" s="3" t="str">
        <f t="shared" si="0"/>
        <v>103 Francisco de Avondo  Socorro NM US</v>
      </c>
      <c r="J35" s="5">
        <v>87801</v>
      </c>
      <c r="K35" s="3" t="s">
        <v>934</v>
      </c>
      <c r="L35" s="3" t="s">
        <v>935</v>
      </c>
      <c r="M35" s="3" t="s">
        <v>788</v>
      </c>
      <c r="N35" s="3"/>
      <c r="O35" s="3"/>
      <c r="P35" s="3"/>
      <c r="Q35" s="3"/>
      <c r="R35" s="3"/>
      <c r="S35" s="3"/>
      <c r="U35" s="3"/>
      <c r="V35" s="3"/>
      <c r="W35" s="3" t="s">
        <v>936</v>
      </c>
      <c r="X35" s="7" t="s">
        <v>937</v>
      </c>
    </row>
    <row r="36" spans="1:24" x14ac:dyDescent="0.25">
      <c r="A36" s="6">
        <v>6</v>
      </c>
      <c r="B36" s="3" t="s">
        <v>731</v>
      </c>
      <c r="C36" s="3" t="s">
        <v>571</v>
      </c>
      <c r="D36" s="3" t="s">
        <v>933</v>
      </c>
      <c r="E36" s="3"/>
      <c r="F36" s="3" t="s">
        <v>571</v>
      </c>
      <c r="G36" s="3" t="s">
        <v>600</v>
      </c>
      <c r="H36" s="3" t="s">
        <v>601</v>
      </c>
      <c r="I36" s="3" t="str">
        <f t="shared" si="0"/>
        <v>103 Francisco de Avondo  Socorro NM US</v>
      </c>
      <c r="J36" s="5">
        <v>87801</v>
      </c>
      <c r="K36" s="3" t="s">
        <v>934</v>
      </c>
      <c r="L36" s="3" t="s">
        <v>935</v>
      </c>
      <c r="M36" s="3" t="s">
        <v>788</v>
      </c>
      <c r="N36" s="3"/>
      <c r="O36" s="3"/>
      <c r="P36" s="3"/>
      <c r="Q36" s="3"/>
      <c r="R36" s="3"/>
      <c r="S36" s="3"/>
      <c r="U36" s="3"/>
      <c r="V36" s="3"/>
      <c r="W36" s="3" t="s">
        <v>938</v>
      </c>
      <c r="X36" s="7" t="s">
        <v>939</v>
      </c>
    </row>
    <row r="37" spans="1:24" x14ac:dyDescent="0.25">
      <c r="A37" s="6">
        <v>7</v>
      </c>
      <c r="B37" s="3" t="s">
        <v>731</v>
      </c>
      <c r="C37" s="3" t="s">
        <v>940</v>
      </c>
      <c r="D37" s="3" t="s">
        <v>597</v>
      </c>
      <c r="E37" s="3"/>
      <c r="F37" s="3" t="s">
        <v>599</v>
      </c>
      <c r="G37" s="3" t="s">
        <v>600</v>
      </c>
      <c r="H37" s="3" t="s">
        <v>601</v>
      </c>
      <c r="I37" s="3" t="str">
        <f t="shared" si="0"/>
        <v>1304 CR AB  Melrose NM US</v>
      </c>
      <c r="J37" s="5">
        <v>88124</v>
      </c>
      <c r="K37" s="3" t="s">
        <v>603</v>
      </c>
      <c r="L37" s="3" t="s">
        <v>602</v>
      </c>
      <c r="M37" s="3" t="s">
        <v>788</v>
      </c>
      <c r="N37" s="3"/>
      <c r="O37" s="3"/>
      <c r="P37" s="3"/>
      <c r="Q37" s="3"/>
      <c r="R37" s="3"/>
      <c r="S37" s="3"/>
      <c r="U37" s="3"/>
      <c r="V37" s="3"/>
      <c r="W37" s="3" t="s">
        <v>941</v>
      </c>
      <c r="X37" s="7" t="s">
        <v>942</v>
      </c>
    </row>
    <row r="38" spans="1:24" x14ac:dyDescent="0.25">
      <c r="A38" s="6">
        <v>4</v>
      </c>
      <c r="B38" s="3" t="s">
        <v>731</v>
      </c>
      <c r="C38" s="3" t="s">
        <v>13</v>
      </c>
      <c r="D38" s="3" t="s">
        <v>597</v>
      </c>
      <c r="E38" s="3"/>
      <c r="F38" s="3" t="s">
        <v>599</v>
      </c>
      <c r="G38" s="3" t="s">
        <v>600</v>
      </c>
      <c r="H38" s="3" t="s">
        <v>601</v>
      </c>
      <c r="I38" s="3" t="str">
        <f t="shared" si="0"/>
        <v>1304 CR AB  Melrose NM US</v>
      </c>
      <c r="J38" s="5">
        <v>88124</v>
      </c>
      <c r="K38" s="3" t="s">
        <v>603</v>
      </c>
      <c r="L38" s="3" t="s">
        <v>602</v>
      </c>
      <c r="M38" s="3" t="s">
        <v>788</v>
      </c>
      <c r="N38" s="3"/>
      <c r="O38" s="3"/>
      <c r="P38" s="3"/>
      <c r="Q38" s="3"/>
      <c r="R38" s="3"/>
      <c r="S38" s="3"/>
      <c r="U38" s="3"/>
      <c r="V38" s="3"/>
      <c r="W38" s="3" t="s">
        <v>943</v>
      </c>
      <c r="X38" s="7" t="s">
        <v>834</v>
      </c>
    </row>
    <row r="39" spans="1:24" x14ac:dyDescent="0.25">
      <c r="A39" s="6">
        <v>32</v>
      </c>
      <c r="B39" s="3" t="s">
        <v>731</v>
      </c>
      <c r="C39" s="3" t="s">
        <v>669</v>
      </c>
      <c r="D39" s="3" t="s">
        <v>944</v>
      </c>
      <c r="E39" s="3"/>
      <c r="F39" s="3" t="s">
        <v>564</v>
      </c>
      <c r="G39" s="3" t="s">
        <v>630</v>
      </c>
      <c r="H39" s="3" t="s">
        <v>601</v>
      </c>
      <c r="I39" s="3" t="str">
        <f t="shared" si="0"/>
        <v>220 Chamisa RD  Taos New Mexico US</v>
      </c>
      <c r="J39" s="5">
        <v>87571</v>
      </c>
      <c r="K39" s="3" t="s">
        <v>668</v>
      </c>
      <c r="L39" s="3" t="s">
        <v>667</v>
      </c>
      <c r="M39" s="3" t="s">
        <v>788</v>
      </c>
      <c r="N39" s="3"/>
      <c r="O39" s="3"/>
      <c r="P39" s="3"/>
      <c r="Q39" s="3"/>
      <c r="R39" s="3"/>
      <c r="S39" s="3"/>
      <c r="U39" s="3"/>
      <c r="V39" s="3"/>
      <c r="W39" s="3" t="s">
        <v>945</v>
      </c>
      <c r="X39" s="7" t="s">
        <v>946</v>
      </c>
    </row>
    <row r="40" spans="1:24" x14ac:dyDescent="0.25">
      <c r="A40" s="6">
        <v>11</v>
      </c>
      <c r="B40" s="3" t="s">
        <v>731</v>
      </c>
      <c r="C40" s="3" t="s">
        <v>669</v>
      </c>
      <c r="D40" s="3" t="s">
        <v>944</v>
      </c>
      <c r="E40" s="3"/>
      <c r="F40" s="3" t="s">
        <v>564</v>
      </c>
      <c r="G40" s="3" t="s">
        <v>630</v>
      </c>
      <c r="H40" s="3" t="s">
        <v>601</v>
      </c>
      <c r="I40" s="3" t="str">
        <f t="shared" si="0"/>
        <v>220 Chamisa RD  Taos New Mexico US</v>
      </c>
      <c r="J40" s="5">
        <v>87571</v>
      </c>
      <c r="K40" s="3" t="s">
        <v>668</v>
      </c>
      <c r="L40" s="3" t="s">
        <v>667</v>
      </c>
      <c r="M40" s="3" t="s">
        <v>788</v>
      </c>
      <c r="N40" s="3"/>
      <c r="O40" s="3"/>
      <c r="P40" s="3"/>
      <c r="Q40" s="3"/>
      <c r="R40" s="3"/>
      <c r="S40" s="3"/>
      <c r="U40" s="3"/>
      <c r="V40" s="3"/>
      <c r="W40" s="3" t="s">
        <v>947</v>
      </c>
      <c r="X40" s="7" t="s">
        <v>747</v>
      </c>
    </row>
    <row r="41" spans="1:24" x14ac:dyDescent="0.25">
      <c r="A41" s="6">
        <v>39</v>
      </c>
      <c r="B41" s="3" t="s">
        <v>731</v>
      </c>
      <c r="C41" s="3" t="s">
        <v>736</v>
      </c>
      <c r="D41" s="3" t="s">
        <v>713</v>
      </c>
      <c r="E41" s="3"/>
      <c r="F41" s="3" t="s">
        <v>714</v>
      </c>
      <c r="G41" s="3" t="s">
        <v>630</v>
      </c>
      <c r="H41" s="3" t="s">
        <v>601</v>
      </c>
      <c r="I41" s="3" t="str">
        <f t="shared" si="0"/>
        <v>267 Main Road  Capitan New Mexico US</v>
      </c>
      <c r="J41" s="5">
        <v>88316</v>
      </c>
      <c r="K41" s="3" t="s">
        <v>716</v>
      </c>
      <c r="L41" s="3" t="s">
        <v>715</v>
      </c>
      <c r="M41" s="3" t="s">
        <v>800</v>
      </c>
      <c r="N41" s="3"/>
      <c r="O41" s="3"/>
      <c r="P41" s="3"/>
      <c r="Q41" s="3"/>
      <c r="R41" s="3"/>
      <c r="S41" s="3"/>
      <c r="U41" s="3"/>
      <c r="V41" s="3"/>
      <c r="W41" s="3" t="s">
        <v>948</v>
      </c>
      <c r="X41" s="7" t="s">
        <v>949</v>
      </c>
    </row>
    <row r="42" spans="1:24" x14ac:dyDescent="0.25">
      <c r="A42" s="6">
        <v>25</v>
      </c>
      <c r="B42" s="3" t="s">
        <v>731</v>
      </c>
      <c r="C42" s="3" t="s">
        <v>950</v>
      </c>
      <c r="D42" s="3" t="s">
        <v>951</v>
      </c>
      <c r="E42" s="3"/>
      <c r="F42" s="3" t="s">
        <v>905</v>
      </c>
      <c r="G42" s="3" t="s">
        <v>630</v>
      </c>
      <c r="H42" s="3" t="s">
        <v>601</v>
      </c>
      <c r="I42" s="3" t="str">
        <f t="shared" si="0"/>
        <v>411 Chico St.  Roy New Mexico US</v>
      </c>
      <c r="J42" s="5">
        <v>87743</v>
      </c>
      <c r="K42" s="3" t="s">
        <v>952</v>
      </c>
      <c r="L42" s="3" t="s">
        <v>953</v>
      </c>
      <c r="M42" s="3" t="s">
        <v>800</v>
      </c>
      <c r="N42" s="3"/>
      <c r="O42" s="3"/>
      <c r="P42" s="3"/>
      <c r="Q42" s="3"/>
      <c r="R42" s="3"/>
      <c r="S42" s="3"/>
      <c r="U42" s="3"/>
      <c r="V42" s="3"/>
      <c r="W42" s="3" t="s">
        <v>954</v>
      </c>
      <c r="X42" s="7" t="s">
        <v>955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7EED-608B-4811-93A2-484F61719E81}">
  <dimension ref="A1:L76"/>
  <sheetViews>
    <sheetView topLeftCell="G1" workbookViewId="0">
      <selection activeCell="A80" sqref="A80"/>
    </sheetView>
  </sheetViews>
  <sheetFormatPr defaultRowHeight="15" x14ac:dyDescent="0.25"/>
  <cols>
    <col min="1" max="1" width="58.7109375" customWidth="1"/>
    <col min="2" max="9" width="71.42578125" customWidth="1"/>
    <col min="10" max="10" width="65.28515625" customWidth="1"/>
    <col min="11" max="12" width="71.42578125" customWidth="1"/>
  </cols>
  <sheetData>
    <row r="1" spans="1:12" x14ac:dyDescent="0.25">
      <c r="A1" t="s">
        <v>113</v>
      </c>
      <c r="B1" t="s">
        <v>114</v>
      </c>
      <c r="C1" t="s">
        <v>115</v>
      </c>
      <c r="D1" t="s">
        <v>116</v>
      </c>
      <c r="E1" t="s">
        <v>117</v>
      </c>
      <c r="F1" t="s">
        <v>118</v>
      </c>
      <c r="G1" t="s">
        <v>119</v>
      </c>
      <c r="H1" t="s">
        <v>120</v>
      </c>
      <c r="I1" t="s">
        <v>121</v>
      </c>
      <c r="J1" t="s">
        <v>122</v>
      </c>
      <c r="K1" t="s">
        <v>123</v>
      </c>
      <c r="L1" t="s">
        <v>124</v>
      </c>
    </row>
    <row r="2" spans="1:12" x14ac:dyDescent="0.25">
      <c r="A2">
        <v>1</v>
      </c>
      <c r="B2" t="s">
        <v>550</v>
      </c>
      <c r="C2" t="s">
        <v>551</v>
      </c>
      <c r="D2" t="s">
        <v>552</v>
      </c>
      <c r="E2" t="s">
        <v>553</v>
      </c>
      <c r="F2" t="s">
        <v>564</v>
      </c>
      <c r="G2" t="s">
        <v>128</v>
      </c>
      <c r="H2" t="s">
        <v>554</v>
      </c>
      <c r="J2" t="s">
        <v>555</v>
      </c>
      <c r="K2" t="s">
        <v>556</v>
      </c>
      <c r="L2" t="s">
        <v>557</v>
      </c>
    </row>
    <row r="3" spans="1:12" x14ac:dyDescent="0.25">
      <c r="A3">
        <v>2</v>
      </c>
      <c r="B3" t="s">
        <v>538</v>
      </c>
      <c r="C3" t="s">
        <v>539</v>
      </c>
      <c r="D3" t="s">
        <v>155</v>
      </c>
      <c r="E3" t="s">
        <v>540</v>
      </c>
      <c r="F3" t="s">
        <v>571</v>
      </c>
      <c r="G3" t="s">
        <v>128</v>
      </c>
      <c r="H3" t="s">
        <v>541</v>
      </c>
      <c r="J3" t="s">
        <v>542</v>
      </c>
      <c r="K3" t="s">
        <v>543</v>
      </c>
      <c r="L3" t="s">
        <v>544</v>
      </c>
    </row>
    <row r="4" spans="1:12" x14ac:dyDescent="0.25">
      <c r="A4">
        <v>3</v>
      </c>
      <c r="B4" t="s">
        <v>154</v>
      </c>
      <c r="C4" t="s">
        <v>154</v>
      </c>
      <c r="D4" t="s">
        <v>155</v>
      </c>
      <c r="E4" t="s">
        <v>156</v>
      </c>
      <c r="F4" t="s">
        <v>561</v>
      </c>
      <c r="G4" t="s">
        <v>128</v>
      </c>
      <c r="H4" t="s">
        <v>157</v>
      </c>
      <c r="J4" t="s">
        <v>158</v>
      </c>
      <c r="K4" t="s">
        <v>159</v>
      </c>
      <c r="L4" t="s">
        <v>160</v>
      </c>
    </row>
    <row r="5" spans="1:12" x14ac:dyDescent="0.25">
      <c r="A5">
        <v>4</v>
      </c>
      <c r="B5" t="s">
        <v>154</v>
      </c>
      <c r="C5" t="s">
        <v>154</v>
      </c>
      <c r="D5" t="s">
        <v>155</v>
      </c>
      <c r="E5" t="s">
        <v>156</v>
      </c>
      <c r="F5" t="s">
        <v>561</v>
      </c>
      <c r="G5" t="s">
        <v>128</v>
      </c>
      <c r="H5" t="s">
        <v>157</v>
      </c>
      <c r="J5" t="s">
        <v>284</v>
      </c>
      <c r="K5" t="s">
        <v>285</v>
      </c>
      <c r="L5" t="s">
        <v>160</v>
      </c>
    </row>
    <row r="6" spans="1:12" x14ac:dyDescent="0.25">
      <c r="A6">
        <v>5</v>
      </c>
      <c r="B6" t="s">
        <v>360</v>
      </c>
      <c r="C6" t="s">
        <v>360</v>
      </c>
      <c r="D6" t="s">
        <v>361</v>
      </c>
      <c r="E6" t="s">
        <v>362</v>
      </c>
      <c r="F6" t="s">
        <v>562</v>
      </c>
      <c r="G6" t="s">
        <v>128</v>
      </c>
      <c r="H6" t="s">
        <v>363</v>
      </c>
      <c r="J6" t="s">
        <v>364</v>
      </c>
      <c r="K6" t="s">
        <v>365</v>
      </c>
      <c r="L6" t="s">
        <v>366</v>
      </c>
    </row>
    <row r="7" spans="1:12" x14ac:dyDescent="0.25">
      <c r="A7">
        <v>6</v>
      </c>
      <c r="B7" t="s">
        <v>367</v>
      </c>
      <c r="C7" t="s">
        <v>367</v>
      </c>
      <c r="D7" t="s">
        <v>368</v>
      </c>
      <c r="E7" t="s">
        <v>369</v>
      </c>
      <c r="F7" t="s">
        <v>562</v>
      </c>
      <c r="G7" t="s">
        <v>210</v>
      </c>
      <c r="I7" t="s">
        <v>370</v>
      </c>
      <c r="J7" t="s">
        <v>63</v>
      </c>
      <c r="K7" t="s">
        <v>371</v>
      </c>
      <c r="L7" t="s">
        <v>372</v>
      </c>
    </row>
    <row r="8" spans="1:12" x14ac:dyDescent="0.25">
      <c r="A8">
        <v>7</v>
      </c>
      <c r="B8" t="s">
        <v>335</v>
      </c>
      <c r="C8" t="s">
        <v>335</v>
      </c>
      <c r="D8" t="s">
        <v>336</v>
      </c>
      <c r="E8" t="s">
        <v>208</v>
      </c>
      <c r="F8" t="s">
        <v>562</v>
      </c>
      <c r="G8" t="s">
        <v>210</v>
      </c>
      <c r="I8" t="s">
        <v>337</v>
      </c>
      <c r="J8" t="s">
        <v>338</v>
      </c>
      <c r="K8" t="s">
        <v>339</v>
      </c>
      <c r="L8" t="s">
        <v>340</v>
      </c>
    </row>
    <row r="9" spans="1:12" x14ac:dyDescent="0.25">
      <c r="A9">
        <v>8</v>
      </c>
      <c r="B9" t="s">
        <v>28</v>
      </c>
      <c r="C9" t="s">
        <v>373</v>
      </c>
      <c r="D9" t="s">
        <v>374</v>
      </c>
      <c r="E9" t="s">
        <v>375</v>
      </c>
      <c r="F9" t="s">
        <v>571</v>
      </c>
      <c r="G9" t="s">
        <v>128</v>
      </c>
      <c r="H9" t="s">
        <v>376</v>
      </c>
      <c r="J9" t="s">
        <v>64</v>
      </c>
      <c r="K9" t="s">
        <v>377</v>
      </c>
      <c r="L9" t="s">
        <v>378</v>
      </c>
    </row>
    <row r="10" spans="1:12" x14ac:dyDescent="0.25">
      <c r="A10">
        <v>9</v>
      </c>
      <c r="B10" t="s">
        <v>286</v>
      </c>
      <c r="C10" t="s">
        <v>286</v>
      </c>
      <c r="D10" t="s">
        <v>287</v>
      </c>
      <c r="E10" t="s">
        <v>288</v>
      </c>
      <c r="F10" t="s">
        <v>560</v>
      </c>
      <c r="G10" t="s">
        <v>128</v>
      </c>
      <c r="H10" t="s">
        <v>289</v>
      </c>
      <c r="J10" t="s">
        <v>65</v>
      </c>
      <c r="K10" t="s">
        <v>290</v>
      </c>
      <c r="L10" t="s">
        <v>291</v>
      </c>
    </row>
    <row r="11" spans="1:12" x14ac:dyDescent="0.25">
      <c r="A11">
        <v>10</v>
      </c>
      <c r="B11" t="s">
        <v>379</v>
      </c>
      <c r="C11" t="s">
        <v>380</v>
      </c>
      <c r="D11" t="s">
        <v>381</v>
      </c>
      <c r="E11" t="s">
        <v>382</v>
      </c>
      <c r="F11" t="s">
        <v>561</v>
      </c>
      <c r="G11" t="s">
        <v>128</v>
      </c>
      <c r="H11" t="s">
        <v>383</v>
      </c>
      <c r="J11" t="s">
        <v>384</v>
      </c>
      <c r="K11" t="s">
        <v>385</v>
      </c>
      <c r="L11" t="s">
        <v>386</v>
      </c>
    </row>
    <row r="12" spans="1:12" x14ac:dyDescent="0.25">
      <c r="A12">
        <v>11</v>
      </c>
      <c r="B12" t="s">
        <v>161</v>
      </c>
      <c r="C12" t="s">
        <v>161</v>
      </c>
      <c r="D12" t="s">
        <v>162</v>
      </c>
      <c r="E12" t="s">
        <v>163</v>
      </c>
      <c r="F12" t="s">
        <v>562</v>
      </c>
      <c r="G12" t="s">
        <v>128</v>
      </c>
      <c r="H12" t="s">
        <v>164</v>
      </c>
      <c r="J12" t="s">
        <v>165</v>
      </c>
      <c r="K12" t="s">
        <v>166</v>
      </c>
      <c r="L12" t="s">
        <v>167</v>
      </c>
    </row>
    <row r="13" spans="1:12" x14ac:dyDescent="0.25">
      <c r="A13">
        <v>12</v>
      </c>
      <c r="B13" t="s">
        <v>30</v>
      </c>
      <c r="C13" t="s">
        <v>30</v>
      </c>
      <c r="D13" t="s">
        <v>341</v>
      </c>
      <c r="E13" t="s">
        <v>342</v>
      </c>
      <c r="F13" t="s">
        <v>564</v>
      </c>
      <c r="G13" t="s">
        <v>128</v>
      </c>
      <c r="H13" t="s">
        <v>343</v>
      </c>
      <c r="J13" t="s">
        <v>66</v>
      </c>
      <c r="K13" t="s">
        <v>344</v>
      </c>
      <c r="L13" t="s">
        <v>345</v>
      </c>
    </row>
    <row r="14" spans="1:12" x14ac:dyDescent="0.25">
      <c r="A14">
        <v>13</v>
      </c>
      <c r="B14" t="s">
        <v>31</v>
      </c>
      <c r="C14" t="s">
        <v>31</v>
      </c>
      <c r="D14" t="s">
        <v>420</v>
      </c>
      <c r="E14" t="s">
        <v>534</v>
      </c>
      <c r="F14" t="s">
        <v>576</v>
      </c>
      <c r="G14" t="s">
        <v>128</v>
      </c>
      <c r="H14" t="s">
        <v>535</v>
      </c>
      <c r="J14" t="s">
        <v>67</v>
      </c>
      <c r="K14" t="s">
        <v>536</v>
      </c>
      <c r="L14" t="s">
        <v>537</v>
      </c>
    </row>
    <row r="15" spans="1:12" x14ac:dyDescent="0.25">
      <c r="A15">
        <v>14</v>
      </c>
      <c r="B15" t="s">
        <v>32</v>
      </c>
      <c r="C15" t="s">
        <v>32</v>
      </c>
      <c r="D15" t="s">
        <v>292</v>
      </c>
      <c r="E15" t="s">
        <v>293</v>
      </c>
      <c r="F15" t="s">
        <v>563</v>
      </c>
      <c r="G15" t="s">
        <v>128</v>
      </c>
      <c r="H15" t="s">
        <v>294</v>
      </c>
      <c r="J15" t="s">
        <v>68</v>
      </c>
      <c r="K15" t="s">
        <v>295</v>
      </c>
      <c r="L15" t="s">
        <v>296</v>
      </c>
    </row>
    <row r="16" spans="1:12" x14ac:dyDescent="0.25">
      <c r="A16">
        <v>15</v>
      </c>
      <c r="B16" t="s">
        <v>168</v>
      </c>
      <c r="C16" t="s">
        <v>168</v>
      </c>
      <c r="D16" t="s">
        <v>169</v>
      </c>
      <c r="E16" t="s">
        <v>170</v>
      </c>
      <c r="F16" t="s">
        <v>563</v>
      </c>
      <c r="G16" t="s">
        <v>128</v>
      </c>
      <c r="H16" t="s">
        <v>171</v>
      </c>
      <c r="J16" t="s">
        <v>172</v>
      </c>
      <c r="K16" t="s">
        <v>173</v>
      </c>
      <c r="L16" t="s">
        <v>174</v>
      </c>
    </row>
    <row r="17" spans="1:12" x14ac:dyDescent="0.25">
      <c r="A17">
        <v>16</v>
      </c>
      <c r="B17" t="s">
        <v>387</v>
      </c>
      <c r="C17" t="s">
        <v>30</v>
      </c>
      <c r="D17" t="s">
        <v>341</v>
      </c>
      <c r="E17" t="s">
        <v>342</v>
      </c>
      <c r="F17" t="s">
        <v>564</v>
      </c>
      <c r="G17" t="s">
        <v>128</v>
      </c>
      <c r="H17" t="s">
        <v>388</v>
      </c>
      <c r="J17" t="s">
        <v>389</v>
      </c>
      <c r="K17" t="s">
        <v>390</v>
      </c>
      <c r="L17" t="s">
        <v>391</v>
      </c>
    </row>
    <row r="18" spans="1:12" x14ac:dyDescent="0.25">
      <c r="A18">
        <v>17</v>
      </c>
      <c r="B18" t="s">
        <v>33</v>
      </c>
      <c r="C18" t="s">
        <v>33</v>
      </c>
      <c r="D18" t="s">
        <v>392</v>
      </c>
      <c r="E18" t="s">
        <v>393</v>
      </c>
      <c r="F18" t="s">
        <v>571</v>
      </c>
      <c r="G18" t="s">
        <v>128</v>
      </c>
      <c r="H18" t="s">
        <v>394</v>
      </c>
      <c r="J18" t="s">
        <v>69</v>
      </c>
      <c r="K18" t="s">
        <v>395</v>
      </c>
      <c r="L18" t="s">
        <v>396</v>
      </c>
    </row>
    <row r="19" spans="1:12" x14ac:dyDescent="0.25">
      <c r="A19">
        <v>18</v>
      </c>
      <c r="B19" t="s">
        <v>346</v>
      </c>
      <c r="C19" t="s">
        <v>346</v>
      </c>
      <c r="D19" t="s">
        <v>347</v>
      </c>
      <c r="E19" t="s">
        <v>348</v>
      </c>
      <c r="F19" t="s">
        <v>561</v>
      </c>
      <c r="G19" t="s">
        <v>128</v>
      </c>
      <c r="H19" t="s">
        <v>349</v>
      </c>
      <c r="J19" t="s">
        <v>350</v>
      </c>
      <c r="K19" t="s">
        <v>351</v>
      </c>
      <c r="L19" t="s">
        <v>352</v>
      </c>
    </row>
    <row r="20" spans="1:12" x14ac:dyDescent="0.25">
      <c r="A20">
        <v>19</v>
      </c>
      <c r="B20" t="s">
        <v>35</v>
      </c>
      <c r="C20" t="s">
        <v>35</v>
      </c>
      <c r="D20" t="s">
        <v>397</v>
      </c>
      <c r="E20" t="s">
        <v>215</v>
      </c>
      <c r="F20" t="s">
        <v>565</v>
      </c>
      <c r="G20" t="s">
        <v>128</v>
      </c>
      <c r="H20" t="s">
        <v>398</v>
      </c>
      <c r="J20" t="s">
        <v>399</v>
      </c>
      <c r="K20" t="s">
        <v>400</v>
      </c>
      <c r="L20" t="s">
        <v>35</v>
      </c>
    </row>
    <row r="21" spans="1:12" x14ac:dyDescent="0.25">
      <c r="A21">
        <v>20</v>
      </c>
      <c r="B21" t="s">
        <v>401</v>
      </c>
      <c r="C21" t="s">
        <v>215</v>
      </c>
      <c r="D21" t="s">
        <v>402</v>
      </c>
      <c r="E21" t="s">
        <v>215</v>
      </c>
      <c r="F21" t="s">
        <v>565</v>
      </c>
      <c r="G21" t="s">
        <v>210</v>
      </c>
      <c r="I21" t="s">
        <v>403</v>
      </c>
      <c r="J21" t="s">
        <v>404</v>
      </c>
      <c r="K21" t="s">
        <v>405</v>
      </c>
      <c r="L21" t="s">
        <v>36</v>
      </c>
    </row>
    <row r="22" spans="1:12" x14ac:dyDescent="0.25">
      <c r="A22">
        <v>21</v>
      </c>
      <c r="B22" t="s">
        <v>406</v>
      </c>
      <c r="C22" t="s">
        <v>407</v>
      </c>
      <c r="D22" t="s">
        <v>408</v>
      </c>
      <c r="E22" t="s">
        <v>409</v>
      </c>
      <c r="F22" t="s">
        <v>561</v>
      </c>
      <c r="G22" t="s">
        <v>128</v>
      </c>
      <c r="H22" t="s">
        <v>410</v>
      </c>
      <c r="J22" t="s">
        <v>411</v>
      </c>
      <c r="K22" t="s">
        <v>412</v>
      </c>
      <c r="L22" t="s">
        <v>413</v>
      </c>
    </row>
    <row r="23" spans="1:12" x14ac:dyDescent="0.25">
      <c r="A23">
        <v>22</v>
      </c>
      <c r="B23" t="s">
        <v>37</v>
      </c>
      <c r="C23" t="s">
        <v>37</v>
      </c>
      <c r="D23" t="s">
        <v>414</v>
      </c>
      <c r="E23" t="s">
        <v>415</v>
      </c>
      <c r="F23" t="s">
        <v>561</v>
      </c>
      <c r="G23" t="s">
        <v>128</v>
      </c>
      <c r="H23" t="s">
        <v>416</v>
      </c>
      <c r="J23" t="s">
        <v>73</v>
      </c>
      <c r="K23" t="s">
        <v>417</v>
      </c>
      <c r="L23" t="s">
        <v>418</v>
      </c>
    </row>
    <row r="24" spans="1:12" x14ac:dyDescent="0.25">
      <c r="A24">
        <v>23</v>
      </c>
      <c r="B24" t="s">
        <v>38</v>
      </c>
      <c r="C24" t="s">
        <v>419</v>
      </c>
      <c r="D24" t="s">
        <v>420</v>
      </c>
      <c r="E24" t="s">
        <v>421</v>
      </c>
      <c r="F24" t="s">
        <v>564</v>
      </c>
      <c r="G24" t="s">
        <v>210</v>
      </c>
      <c r="I24" t="s">
        <v>422</v>
      </c>
      <c r="J24" t="s">
        <v>74</v>
      </c>
      <c r="K24" t="s">
        <v>423</v>
      </c>
      <c r="L24" t="s">
        <v>424</v>
      </c>
    </row>
    <row r="25" spans="1:12" x14ac:dyDescent="0.25">
      <c r="A25">
        <v>24</v>
      </c>
      <c r="B25" t="s">
        <v>39</v>
      </c>
      <c r="C25" t="s">
        <v>39</v>
      </c>
      <c r="D25" t="s">
        <v>425</v>
      </c>
      <c r="E25" t="s">
        <v>426</v>
      </c>
      <c r="F25" t="s">
        <v>560</v>
      </c>
      <c r="G25" t="s">
        <v>128</v>
      </c>
      <c r="H25" t="s">
        <v>427</v>
      </c>
      <c r="J25" t="s">
        <v>75</v>
      </c>
      <c r="K25" t="s">
        <v>428</v>
      </c>
      <c r="L25" t="s">
        <v>75</v>
      </c>
    </row>
    <row r="26" spans="1:12" x14ac:dyDescent="0.25">
      <c r="A26">
        <v>25</v>
      </c>
      <c r="B26" t="s">
        <v>40</v>
      </c>
      <c r="C26" t="s">
        <v>40</v>
      </c>
      <c r="D26" t="s">
        <v>297</v>
      </c>
      <c r="E26" t="s">
        <v>215</v>
      </c>
      <c r="F26" t="s">
        <v>565</v>
      </c>
      <c r="G26" t="s">
        <v>210</v>
      </c>
      <c r="I26" t="s">
        <v>298</v>
      </c>
      <c r="J26" t="s">
        <v>299</v>
      </c>
      <c r="K26" t="s">
        <v>300</v>
      </c>
      <c r="L26" t="s">
        <v>40</v>
      </c>
    </row>
    <row r="27" spans="1:12" x14ac:dyDescent="0.25">
      <c r="A27">
        <v>26</v>
      </c>
      <c r="B27" t="s">
        <v>301</v>
      </c>
      <c r="C27" t="s">
        <v>301</v>
      </c>
      <c r="D27" t="s">
        <v>302</v>
      </c>
      <c r="E27" t="s">
        <v>303</v>
      </c>
      <c r="F27" t="s">
        <v>563</v>
      </c>
      <c r="G27" t="s">
        <v>128</v>
      </c>
      <c r="H27" t="s">
        <v>304</v>
      </c>
      <c r="J27" t="s">
        <v>305</v>
      </c>
      <c r="K27" t="s">
        <v>306</v>
      </c>
      <c r="L27" t="s">
        <v>307</v>
      </c>
    </row>
    <row r="28" spans="1:12" x14ac:dyDescent="0.25">
      <c r="A28">
        <v>27</v>
      </c>
      <c r="B28" t="s">
        <v>175</v>
      </c>
      <c r="C28" t="s">
        <v>175</v>
      </c>
      <c r="D28" t="s">
        <v>176</v>
      </c>
      <c r="E28" t="s">
        <v>177</v>
      </c>
      <c r="F28" t="s">
        <v>564</v>
      </c>
      <c r="G28" t="s">
        <v>128</v>
      </c>
      <c r="H28" t="s">
        <v>178</v>
      </c>
      <c r="J28" t="s">
        <v>179</v>
      </c>
      <c r="K28" t="s">
        <v>180</v>
      </c>
      <c r="L28" t="s">
        <v>181</v>
      </c>
    </row>
    <row r="29" spans="1:12" x14ac:dyDescent="0.25">
      <c r="A29">
        <v>28</v>
      </c>
      <c r="B29" t="s">
        <v>429</v>
      </c>
      <c r="C29" t="s">
        <v>41</v>
      </c>
      <c r="D29" t="s">
        <v>430</v>
      </c>
      <c r="E29" t="s">
        <v>431</v>
      </c>
      <c r="F29" t="s">
        <v>572</v>
      </c>
      <c r="G29" t="s">
        <v>128</v>
      </c>
      <c r="H29" t="s">
        <v>432</v>
      </c>
      <c r="J29" t="s">
        <v>77</v>
      </c>
      <c r="K29" t="s">
        <v>433</v>
      </c>
      <c r="L29" t="s">
        <v>41</v>
      </c>
    </row>
    <row r="30" spans="1:12" x14ac:dyDescent="0.25">
      <c r="A30">
        <v>29</v>
      </c>
      <c r="B30" t="s">
        <v>125</v>
      </c>
      <c r="C30" t="s">
        <v>125</v>
      </c>
      <c r="D30" t="s">
        <v>126</v>
      </c>
      <c r="E30" t="s">
        <v>127</v>
      </c>
      <c r="F30" t="s">
        <v>558</v>
      </c>
      <c r="G30" t="s">
        <v>210</v>
      </c>
      <c r="I30" t="s">
        <v>434</v>
      </c>
      <c r="J30" t="s">
        <v>435</v>
      </c>
      <c r="K30" t="s">
        <v>436</v>
      </c>
      <c r="L30" t="s">
        <v>437</v>
      </c>
    </row>
    <row r="31" spans="1:12" x14ac:dyDescent="0.25">
      <c r="A31">
        <v>30</v>
      </c>
      <c r="B31" t="s">
        <v>42</v>
      </c>
      <c r="C31" t="s">
        <v>42</v>
      </c>
      <c r="D31" t="s">
        <v>308</v>
      </c>
      <c r="E31" t="s">
        <v>215</v>
      </c>
      <c r="F31" t="s">
        <v>565</v>
      </c>
      <c r="G31" t="s">
        <v>210</v>
      </c>
      <c r="I31" t="s">
        <v>309</v>
      </c>
      <c r="J31" t="s">
        <v>310</v>
      </c>
      <c r="K31" t="s">
        <v>311</v>
      </c>
      <c r="L31" t="s">
        <v>42</v>
      </c>
    </row>
    <row r="32" spans="1:12" x14ac:dyDescent="0.25">
      <c r="A32">
        <v>31</v>
      </c>
      <c r="B32" t="s">
        <v>43</v>
      </c>
      <c r="C32" t="s">
        <v>43</v>
      </c>
      <c r="D32" t="s">
        <v>214</v>
      </c>
      <c r="E32" t="s">
        <v>215</v>
      </c>
      <c r="F32" t="s">
        <v>565</v>
      </c>
      <c r="G32" t="s">
        <v>210</v>
      </c>
      <c r="I32" t="s">
        <v>216</v>
      </c>
      <c r="J32" t="s">
        <v>217</v>
      </c>
      <c r="K32" t="s">
        <v>218</v>
      </c>
      <c r="L32" t="s">
        <v>43</v>
      </c>
    </row>
    <row r="33" spans="1:12" x14ac:dyDescent="0.25">
      <c r="A33">
        <v>32</v>
      </c>
      <c r="B33" t="s">
        <v>125</v>
      </c>
      <c r="C33" t="s">
        <v>125</v>
      </c>
      <c r="D33" t="s">
        <v>126</v>
      </c>
      <c r="E33" t="s">
        <v>127</v>
      </c>
      <c r="F33" t="s">
        <v>558</v>
      </c>
      <c r="G33" t="s">
        <v>128</v>
      </c>
      <c r="H33" t="s">
        <v>129</v>
      </c>
      <c r="J33" t="s">
        <v>130</v>
      </c>
      <c r="K33" t="s">
        <v>131</v>
      </c>
      <c r="L33" t="s">
        <v>130</v>
      </c>
    </row>
    <row r="34" spans="1:12" x14ac:dyDescent="0.25">
      <c r="A34">
        <v>33</v>
      </c>
      <c r="B34" t="s">
        <v>125</v>
      </c>
      <c r="C34" t="s">
        <v>125</v>
      </c>
      <c r="D34" t="s">
        <v>126</v>
      </c>
      <c r="E34" t="s">
        <v>127</v>
      </c>
      <c r="F34" t="s">
        <v>558</v>
      </c>
      <c r="G34" t="s">
        <v>128</v>
      </c>
      <c r="H34" t="s">
        <v>182</v>
      </c>
      <c r="J34" t="s">
        <v>183</v>
      </c>
      <c r="K34" t="s">
        <v>184</v>
      </c>
      <c r="L34" t="s">
        <v>185</v>
      </c>
    </row>
    <row r="35" spans="1:12" x14ac:dyDescent="0.25">
      <c r="A35">
        <v>34</v>
      </c>
      <c r="B35" t="s">
        <v>312</v>
      </c>
      <c r="C35" t="s">
        <v>313</v>
      </c>
      <c r="D35" t="s">
        <v>314</v>
      </c>
      <c r="E35" t="s">
        <v>315</v>
      </c>
      <c r="F35" t="s">
        <v>558</v>
      </c>
      <c r="G35" t="s">
        <v>128</v>
      </c>
      <c r="H35" t="s">
        <v>316</v>
      </c>
      <c r="J35" t="s">
        <v>317</v>
      </c>
      <c r="K35" t="s">
        <v>318</v>
      </c>
      <c r="L35" t="s">
        <v>319</v>
      </c>
    </row>
    <row r="36" spans="1:12" x14ac:dyDescent="0.25">
      <c r="A36">
        <v>35</v>
      </c>
      <c r="B36" t="s">
        <v>44</v>
      </c>
      <c r="C36" t="s">
        <v>44</v>
      </c>
      <c r="D36" t="s">
        <v>320</v>
      </c>
      <c r="E36" t="s">
        <v>321</v>
      </c>
      <c r="F36" t="s">
        <v>561</v>
      </c>
      <c r="G36" t="s">
        <v>128</v>
      </c>
      <c r="H36" t="s">
        <v>322</v>
      </c>
      <c r="J36" t="s">
        <v>80</v>
      </c>
      <c r="K36" t="s">
        <v>323</v>
      </c>
      <c r="L36" t="s">
        <v>44</v>
      </c>
    </row>
    <row r="37" spans="1:12" x14ac:dyDescent="0.25">
      <c r="A37">
        <v>36</v>
      </c>
      <c r="B37" t="s">
        <v>353</v>
      </c>
      <c r="C37" t="s">
        <v>353</v>
      </c>
      <c r="D37" t="s">
        <v>354</v>
      </c>
      <c r="E37" t="s">
        <v>355</v>
      </c>
      <c r="F37" t="s">
        <v>570</v>
      </c>
      <c r="G37" t="s">
        <v>128</v>
      </c>
      <c r="H37" t="s">
        <v>356</v>
      </c>
      <c r="J37" t="s">
        <v>357</v>
      </c>
      <c r="K37" t="s">
        <v>358</v>
      </c>
      <c r="L37" t="s">
        <v>359</v>
      </c>
    </row>
    <row r="38" spans="1:12" x14ac:dyDescent="0.25">
      <c r="A38">
        <v>37</v>
      </c>
      <c r="B38" t="s">
        <v>438</v>
      </c>
      <c r="C38" t="s">
        <v>438</v>
      </c>
      <c r="D38" t="s">
        <v>439</v>
      </c>
      <c r="E38" t="s">
        <v>440</v>
      </c>
      <c r="F38" t="s">
        <v>561</v>
      </c>
      <c r="G38" t="s">
        <v>128</v>
      </c>
      <c r="H38" t="s">
        <v>441</v>
      </c>
      <c r="J38" t="s">
        <v>442</v>
      </c>
      <c r="K38" t="s">
        <v>443</v>
      </c>
      <c r="L38" t="s">
        <v>438</v>
      </c>
    </row>
    <row r="39" spans="1:12" x14ac:dyDescent="0.25">
      <c r="A39">
        <v>38</v>
      </c>
      <c r="B39" t="s">
        <v>324</v>
      </c>
      <c r="C39" t="s">
        <v>324</v>
      </c>
      <c r="D39" t="s">
        <v>325</v>
      </c>
      <c r="E39" t="s">
        <v>326</v>
      </c>
      <c r="F39" t="s">
        <v>569</v>
      </c>
      <c r="G39" t="s">
        <v>210</v>
      </c>
      <c r="I39" t="s">
        <v>327</v>
      </c>
      <c r="J39" t="s">
        <v>81</v>
      </c>
      <c r="K39" t="s">
        <v>328</v>
      </c>
      <c r="L39" t="s">
        <v>329</v>
      </c>
    </row>
    <row r="40" spans="1:12" x14ac:dyDescent="0.25">
      <c r="A40">
        <v>39</v>
      </c>
      <c r="B40" t="s">
        <v>444</v>
      </c>
      <c r="C40" t="s">
        <v>444</v>
      </c>
      <c r="D40" t="s">
        <v>445</v>
      </c>
      <c r="E40" t="s">
        <v>446</v>
      </c>
      <c r="F40" t="s">
        <v>563</v>
      </c>
      <c r="G40" t="s">
        <v>128</v>
      </c>
      <c r="H40" t="s">
        <v>447</v>
      </c>
      <c r="J40" t="s">
        <v>448</v>
      </c>
      <c r="K40" t="s">
        <v>449</v>
      </c>
      <c r="L40" t="s">
        <v>450</v>
      </c>
    </row>
    <row r="41" spans="1:12" x14ac:dyDescent="0.25">
      <c r="A41">
        <v>40</v>
      </c>
      <c r="B41" t="s">
        <v>46</v>
      </c>
      <c r="C41" t="s">
        <v>46</v>
      </c>
      <c r="D41" t="s">
        <v>330</v>
      </c>
      <c r="E41" t="s">
        <v>331</v>
      </c>
      <c r="F41" t="s">
        <v>561</v>
      </c>
      <c r="G41" t="s">
        <v>128</v>
      </c>
      <c r="H41" t="s">
        <v>332</v>
      </c>
      <c r="J41" t="s">
        <v>82</v>
      </c>
      <c r="K41" t="s">
        <v>333</v>
      </c>
      <c r="L41" t="s">
        <v>334</v>
      </c>
    </row>
    <row r="42" spans="1:12" x14ac:dyDescent="0.25">
      <c r="A42">
        <v>41</v>
      </c>
      <c r="B42" t="s">
        <v>47</v>
      </c>
      <c r="C42" t="s">
        <v>47</v>
      </c>
      <c r="D42" t="s">
        <v>451</v>
      </c>
      <c r="E42" t="s">
        <v>452</v>
      </c>
      <c r="F42" t="s">
        <v>573</v>
      </c>
      <c r="G42" t="s">
        <v>128</v>
      </c>
      <c r="H42" t="s">
        <v>453</v>
      </c>
      <c r="J42" t="s">
        <v>454</v>
      </c>
      <c r="K42" t="s">
        <v>455</v>
      </c>
      <c r="L42" t="s">
        <v>456</v>
      </c>
    </row>
    <row r="43" spans="1:12" x14ac:dyDescent="0.25">
      <c r="A43">
        <v>42</v>
      </c>
      <c r="B43" t="s">
        <v>545</v>
      </c>
      <c r="C43" t="s">
        <v>545</v>
      </c>
      <c r="D43" t="s">
        <v>546</v>
      </c>
      <c r="E43" t="s">
        <v>248</v>
      </c>
      <c r="F43" t="s">
        <v>565</v>
      </c>
      <c r="G43" t="s">
        <v>210</v>
      </c>
      <c r="I43" t="s">
        <v>547</v>
      </c>
      <c r="J43" t="s">
        <v>548</v>
      </c>
      <c r="K43" t="s">
        <v>549</v>
      </c>
      <c r="L43" t="s">
        <v>545</v>
      </c>
    </row>
    <row r="44" spans="1:12" x14ac:dyDescent="0.25">
      <c r="A44">
        <v>43</v>
      </c>
      <c r="B44" t="s">
        <v>457</v>
      </c>
      <c r="C44" t="s">
        <v>457</v>
      </c>
      <c r="D44" t="s">
        <v>458</v>
      </c>
      <c r="E44" t="s">
        <v>248</v>
      </c>
      <c r="F44" t="s">
        <v>565</v>
      </c>
      <c r="G44" t="s">
        <v>210</v>
      </c>
      <c r="I44" t="s">
        <v>459</v>
      </c>
      <c r="J44" t="s">
        <v>460</v>
      </c>
      <c r="K44" t="s">
        <v>461</v>
      </c>
      <c r="L44" t="s">
        <v>457</v>
      </c>
    </row>
    <row r="45" spans="1:12" x14ac:dyDescent="0.25">
      <c r="A45">
        <v>44</v>
      </c>
      <c r="B45" t="s">
        <v>219</v>
      </c>
      <c r="C45" t="s">
        <v>219</v>
      </c>
      <c r="D45" t="s">
        <v>220</v>
      </c>
      <c r="E45" t="s">
        <v>198</v>
      </c>
      <c r="F45" t="s">
        <v>564</v>
      </c>
      <c r="G45" t="s">
        <v>128</v>
      </c>
      <c r="H45" t="s">
        <v>221</v>
      </c>
      <c r="J45" t="s">
        <v>222</v>
      </c>
      <c r="K45" t="s">
        <v>223</v>
      </c>
      <c r="L45" t="s">
        <v>224</v>
      </c>
    </row>
    <row r="46" spans="1:12" x14ac:dyDescent="0.25">
      <c r="A46">
        <v>45</v>
      </c>
      <c r="B46" t="s">
        <v>48</v>
      </c>
      <c r="C46" t="s">
        <v>48</v>
      </c>
      <c r="D46" t="s">
        <v>462</v>
      </c>
      <c r="E46" t="s">
        <v>463</v>
      </c>
      <c r="F46" t="s">
        <v>564</v>
      </c>
      <c r="G46" t="s">
        <v>128</v>
      </c>
      <c r="H46" t="s">
        <v>464</v>
      </c>
      <c r="J46" t="s">
        <v>465</v>
      </c>
      <c r="K46" t="s">
        <v>466</v>
      </c>
      <c r="L46" t="s">
        <v>467</v>
      </c>
    </row>
    <row r="47" spans="1:12" x14ac:dyDescent="0.25">
      <c r="A47">
        <v>46</v>
      </c>
      <c r="B47" t="s">
        <v>468</v>
      </c>
      <c r="C47" t="s">
        <v>468</v>
      </c>
      <c r="D47" t="s">
        <v>469</v>
      </c>
      <c r="E47" t="s">
        <v>470</v>
      </c>
      <c r="F47" t="s">
        <v>574</v>
      </c>
      <c r="G47" t="s">
        <v>128</v>
      </c>
      <c r="H47" t="s">
        <v>471</v>
      </c>
      <c r="J47" t="s">
        <v>472</v>
      </c>
      <c r="K47" t="s">
        <v>473</v>
      </c>
      <c r="L47" t="s">
        <v>474</v>
      </c>
    </row>
    <row r="48" spans="1:12" x14ac:dyDescent="0.25">
      <c r="A48">
        <v>47</v>
      </c>
      <c r="B48" t="s">
        <v>225</v>
      </c>
      <c r="C48" t="s">
        <v>49</v>
      </c>
      <c r="D48" t="s">
        <v>226</v>
      </c>
      <c r="E48" t="s">
        <v>227</v>
      </c>
      <c r="F48" t="s">
        <v>558</v>
      </c>
      <c r="G48" t="s">
        <v>128</v>
      </c>
      <c r="H48" t="s">
        <v>228</v>
      </c>
      <c r="J48" t="s">
        <v>85</v>
      </c>
      <c r="K48" t="s">
        <v>229</v>
      </c>
      <c r="L48" t="s">
        <v>230</v>
      </c>
    </row>
    <row r="49" spans="1:12" x14ac:dyDescent="0.25">
      <c r="A49">
        <v>48</v>
      </c>
      <c r="B49" t="s">
        <v>50</v>
      </c>
      <c r="C49" t="s">
        <v>50</v>
      </c>
      <c r="D49" t="s">
        <v>475</v>
      </c>
      <c r="E49" t="s">
        <v>476</v>
      </c>
      <c r="F49" t="s">
        <v>563</v>
      </c>
      <c r="G49" t="s">
        <v>128</v>
      </c>
      <c r="H49" t="s">
        <v>477</v>
      </c>
      <c r="J49" t="s">
        <v>86</v>
      </c>
      <c r="K49" t="s">
        <v>478</v>
      </c>
      <c r="L49" t="s">
        <v>50</v>
      </c>
    </row>
    <row r="50" spans="1:12" x14ac:dyDescent="0.25">
      <c r="A50">
        <v>49</v>
      </c>
      <c r="B50" t="s">
        <v>231</v>
      </c>
      <c r="C50" t="s">
        <v>231</v>
      </c>
      <c r="D50" t="s">
        <v>232</v>
      </c>
      <c r="E50" t="s">
        <v>233</v>
      </c>
      <c r="F50" t="s">
        <v>564</v>
      </c>
      <c r="G50" t="s">
        <v>128</v>
      </c>
      <c r="H50" t="s">
        <v>234</v>
      </c>
      <c r="J50" t="s">
        <v>235</v>
      </c>
      <c r="K50" t="s">
        <v>236</v>
      </c>
      <c r="L50" t="s">
        <v>237</v>
      </c>
    </row>
    <row r="51" spans="1:12" x14ac:dyDescent="0.25">
      <c r="A51">
        <v>50</v>
      </c>
      <c r="B51" t="s">
        <v>51</v>
      </c>
      <c r="C51" t="s">
        <v>51</v>
      </c>
      <c r="D51" t="s">
        <v>479</v>
      </c>
      <c r="E51" t="s">
        <v>480</v>
      </c>
      <c r="F51" t="s">
        <v>564</v>
      </c>
      <c r="G51" t="s">
        <v>128</v>
      </c>
      <c r="H51" t="s">
        <v>481</v>
      </c>
      <c r="J51" t="s">
        <v>87</v>
      </c>
      <c r="K51" t="s">
        <v>482</v>
      </c>
      <c r="L51" t="s">
        <v>483</v>
      </c>
    </row>
    <row r="52" spans="1:12" x14ac:dyDescent="0.25">
      <c r="A52">
        <v>51</v>
      </c>
      <c r="B52" t="s">
        <v>186</v>
      </c>
      <c r="C52" t="s">
        <v>186</v>
      </c>
      <c r="D52" t="s">
        <v>187</v>
      </c>
      <c r="E52" t="s">
        <v>188</v>
      </c>
      <c r="F52" t="s">
        <v>564</v>
      </c>
      <c r="G52" t="s">
        <v>128</v>
      </c>
      <c r="H52" t="s">
        <v>189</v>
      </c>
      <c r="J52" t="s">
        <v>190</v>
      </c>
      <c r="K52" t="s">
        <v>191</v>
      </c>
      <c r="L52" t="s">
        <v>186</v>
      </c>
    </row>
    <row r="53" spans="1:12" x14ac:dyDescent="0.25">
      <c r="A53">
        <v>52</v>
      </c>
      <c r="B53" t="s">
        <v>52</v>
      </c>
      <c r="C53" t="s">
        <v>52</v>
      </c>
      <c r="D53" t="s">
        <v>232</v>
      </c>
      <c r="E53" t="s">
        <v>238</v>
      </c>
      <c r="F53" t="s">
        <v>563</v>
      </c>
      <c r="G53" t="s">
        <v>128</v>
      </c>
      <c r="H53" t="s">
        <v>239</v>
      </c>
      <c r="J53" t="s">
        <v>88</v>
      </c>
      <c r="K53" t="s">
        <v>240</v>
      </c>
      <c r="L53" t="s">
        <v>241</v>
      </c>
    </row>
    <row r="54" spans="1:12" x14ac:dyDescent="0.25">
      <c r="A54">
        <v>53</v>
      </c>
      <c r="B54" t="s">
        <v>192</v>
      </c>
      <c r="C54" t="s">
        <v>192</v>
      </c>
      <c r="D54" t="s">
        <v>193</v>
      </c>
      <c r="E54" t="s">
        <v>194</v>
      </c>
      <c r="F54" t="s">
        <v>564</v>
      </c>
      <c r="G54" t="s">
        <v>128</v>
      </c>
      <c r="H54" t="s">
        <v>195</v>
      </c>
      <c r="J54" t="s">
        <v>196</v>
      </c>
      <c r="K54" t="s">
        <v>197</v>
      </c>
      <c r="L54" t="s">
        <v>192</v>
      </c>
    </row>
    <row r="55" spans="1:12" x14ac:dyDescent="0.25">
      <c r="A55">
        <v>54</v>
      </c>
      <c r="B55" t="s">
        <v>53</v>
      </c>
      <c r="C55" t="s">
        <v>53</v>
      </c>
      <c r="D55" t="s">
        <v>242</v>
      </c>
      <c r="E55" t="s">
        <v>243</v>
      </c>
      <c r="F55" t="s">
        <v>566</v>
      </c>
      <c r="G55" t="s">
        <v>210</v>
      </c>
      <c r="I55" t="s">
        <v>244</v>
      </c>
      <c r="J55" t="s">
        <v>89</v>
      </c>
      <c r="K55" t="s">
        <v>245</v>
      </c>
      <c r="L55" t="s">
        <v>53</v>
      </c>
    </row>
    <row r="56" spans="1:12" x14ac:dyDescent="0.25">
      <c r="A56">
        <v>55</v>
      </c>
      <c r="B56" t="s">
        <v>54</v>
      </c>
      <c r="C56" t="s">
        <v>54</v>
      </c>
      <c r="D56" t="s">
        <v>148</v>
      </c>
      <c r="E56" t="s">
        <v>198</v>
      </c>
      <c r="F56" t="s">
        <v>560</v>
      </c>
      <c r="G56" t="s">
        <v>128</v>
      </c>
      <c r="H56" t="s">
        <v>199</v>
      </c>
      <c r="J56" t="s">
        <v>90</v>
      </c>
      <c r="K56" t="s">
        <v>200</v>
      </c>
      <c r="L56" t="s">
        <v>90</v>
      </c>
    </row>
    <row r="57" spans="1:12" x14ac:dyDescent="0.25">
      <c r="A57">
        <v>56</v>
      </c>
      <c r="B57" t="s">
        <v>246</v>
      </c>
      <c r="C57" t="s">
        <v>246</v>
      </c>
      <c r="D57" t="s">
        <v>247</v>
      </c>
      <c r="E57" t="s">
        <v>248</v>
      </c>
      <c r="F57" t="s">
        <v>565</v>
      </c>
      <c r="G57" t="s">
        <v>210</v>
      </c>
      <c r="I57" t="s">
        <v>249</v>
      </c>
      <c r="J57" t="s">
        <v>250</v>
      </c>
      <c r="K57" t="s">
        <v>251</v>
      </c>
      <c r="L57" t="s">
        <v>246</v>
      </c>
    </row>
    <row r="58" spans="1:12" x14ac:dyDescent="0.25">
      <c r="A58">
        <v>57</v>
      </c>
      <c r="B58" t="s">
        <v>201</v>
      </c>
      <c r="C58" t="s">
        <v>201</v>
      </c>
      <c r="D58" t="s">
        <v>202</v>
      </c>
      <c r="E58" t="s">
        <v>203</v>
      </c>
      <c r="F58" t="s">
        <v>564</v>
      </c>
      <c r="G58" t="s">
        <v>128</v>
      </c>
      <c r="H58" t="s">
        <v>204</v>
      </c>
      <c r="J58" t="s">
        <v>205</v>
      </c>
      <c r="K58" t="s">
        <v>206</v>
      </c>
      <c r="L58" t="s">
        <v>201</v>
      </c>
    </row>
    <row r="59" spans="1:12" x14ac:dyDescent="0.25">
      <c r="A59">
        <v>58</v>
      </c>
      <c r="B59" t="s">
        <v>55</v>
      </c>
      <c r="C59" t="s">
        <v>55</v>
      </c>
      <c r="D59" t="s">
        <v>484</v>
      </c>
      <c r="E59" t="s">
        <v>369</v>
      </c>
      <c r="F59" t="s">
        <v>569</v>
      </c>
      <c r="G59" t="s">
        <v>128</v>
      </c>
      <c r="H59" t="s">
        <v>485</v>
      </c>
      <c r="J59" t="s">
        <v>91</v>
      </c>
      <c r="K59" t="s">
        <v>486</v>
      </c>
      <c r="L59" t="s">
        <v>487</v>
      </c>
    </row>
    <row r="60" spans="1:12" x14ac:dyDescent="0.25">
      <c r="A60">
        <v>59</v>
      </c>
      <c r="B60" t="s">
        <v>252</v>
      </c>
      <c r="C60" t="s">
        <v>253</v>
      </c>
      <c r="D60" t="s">
        <v>254</v>
      </c>
      <c r="E60" t="s">
        <v>255</v>
      </c>
      <c r="F60" t="s">
        <v>567</v>
      </c>
      <c r="G60" t="s">
        <v>128</v>
      </c>
      <c r="H60" t="s">
        <v>256</v>
      </c>
      <c r="J60" t="s">
        <v>257</v>
      </c>
      <c r="K60" t="s">
        <v>258</v>
      </c>
      <c r="L60" t="s">
        <v>253</v>
      </c>
    </row>
    <row r="61" spans="1:12" x14ac:dyDescent="0.25">
      <c r="A61">
        <v>60</v>
      </c>
      <c r="B61" t="s">
        <v>132</v>
      </c>
      <c r="C61" t="s">
        <v>132</v>
      </c>
      <c r="D61" t="s">
        <v>133</v>
      </c>
      <c r="E61" t="s">
        <v>134</v>
      </c>
      <c r="F61" t="s">
        <v>558</v>
      </c>
      <c r="G61" t="s">
        <v>128</v>
      </c>
      <c r="H61" t="s">
        <v>135</v>
      </c>
      <c r="J61" t="s">
        <v>136</v>
      </c>
      <c r="K61" t="s">
        <v>137</v>
      </c>
      <c r="L61" t="s">
        <v>138</v>
      </c>
    </row>
    <row r="62" spans="1:12" x14ac:dyDescent="0.25">
      <c r="A62">
        <v>61</v>
      </c>
      <c r="B62" t="s">
        <v>259</v>
      </c>
      <c r="C62" t="s">
        <v>259</v>
      </c>
      <c r="D62" t="s">
        <v>260</v>
      </c>
      <c r="E62" t="s">
        <v>248</v>
      </c>
      <c r="F62" t="s">
        <v>565</v>
      </c>
      <c r="G62" t="s">
        <v>210</v>
      </c>
      <c r="I62" t="s">
        <v>261</v>
      </c>
      <c r="J62" t="s">
        <v>262</v>
      </c>
      <c r="K62" t="s">
        <v>263</v>
      </c>
      <c r="L62" t="s">
        <v>259</v>
      </c>
    </row>
    <row r="63" spans="1:12" x14ac:dyDescent="0.25">
      <c r="A63">
        <v>62</v>
      </c>
      <c r="B63" t="s">
        <v>488</v>
      </c>
      <c r="C63" t="s">
        <v>489</v>
      </c>
      <c r="D63" t="s">
        <v>490</v>
      </c>
      <c r="E63" t="s">
        <v>491</v>
      </c>
      <c r="F63" t="s">
        <v>575</v>
      </c>
      <c r="G63" t="s">
        <v>128</v>
      </c>
      <c r="H63" t="s">
        <v>492</v>
      </c>
      <c r="J63" t="s">
        <v>493</v>
      </c>
      <c r="K63" t="s">
        <v>494</v>
      </c>
      <c r="L63" t="s">
        <v>495</v>
      </c>
    </row>
    <row r="64" spans="1:12" x14ac:dyDescent="0.25">
      <c r="A64">
        <v>63</v>
      </c>
      <c r="B64" t="s">
        <v>496</v>
      </c>
      <c r="C64" t="s">
        <v>496</v>
      </c>
      <c r="D64" t="s">
        <v>497</v>
      </c>
      <c r="E64" t="s">
        <v>498</v>
      </c>
      <c r="F64" t="s">
        <v>561</v>
      </c>
      <c r="G64" t="s">
        <v>128</v>
      </c>
      <c r="H64" t="s">
        <v>499</v>
      </c>
      <c r="J64" t="s">
        <v>500</v>
      </c>
      <c r="K64" t="s">
        <v>501</v>
      </c>
      <c r="L64" t="s">
        <v>502</v>
      </c>
    </row>
    <row r="65" spans="1:12" x14ac:dyDescent="0.25">
      <c r="A65">
        <v>64</v>
      </c>
      <c r="B65" t="s">
        <v>139</v>
      </c>
      <c r="C65" t="s">
        <v>140</v>
      </c>
      <c r="D65" t="s">
        <v>141</v>
      </c>
      <c r="E65" t="s">
        <v>142</v>
      </c>
      <c r="F65" t="s">
        <v>559</v>
      </c>
      <c r="G65" t="s">
        <v>128</v>
      </c>
      <c r="H65" t="s">
        <v>143</v>
      </c>
      <c r="J65" t="s">
        <v>144</v>
      </c>
      <c r="K65" t="s">
        <v>145</v>
      </c>
      <c r="L65" t="s">
        <v>146</v>
      </c>
    </row>
    <row r="66" spans="1:12" x14ac:dyDescent="0.25">
      <c r="A66">
        <v>65</v>
      </c>
      <c r="B66" t="s">
        <v>264</v>
      </c>
      <c r="C66" t="s">
        <v>264</v>
      </c>
      <c r="D66" t="s">
        <v>265</v>
      </c>
      <c r="E66" t="s">
        <v>266</v>
      </c>
      <c r="F66" t="s">
        <v>568</v>
      </c>
      <c r="G66" t="s">
        <v>128</v>
      </c>
      <c r="H66" t="s">
        <v>267</v>
      </c>
      <c r="J66" t="s">
        <v>92</v>
      </c>
      <c r="K66" t="s">
        <v>268</v>
      </c>
      <c r="L66" t="s">
        <v>269</v>
      </c>
    </row>
    <row r="67" spans="1:12" x14ac:dyDescent="0.25">
      <c r="A67">
        <v>66</v>
      </c>
      <c r="B67" t="s">
        <v>57</v>
      </c>
      <c r="C67" t="s">
        <v>57</v>
      </c>
      <c r="D67" t="s">
        <v>503</v>
      </c>
      <c r="E67" t="s">
        <v>504</v>
      </c>
      <c r="F67" t="s">
        <v>563</v>
      </c>
      <c r="G67" t="s">
        <v>128</v>
      </c>
      <c r="H67" t="s">
        <v>505</v>
      </c>
      <c r="J67" t="s">
        <v>93</v>
      </c>
      <c r="K67" t="s">
        <v>506</v>
      </c>
      <c r="L67" t="s">
        <v>57</v>
      </c>
    </row>
    <row r="68" spans="1:12" x14ac:dyDescent="0.25">
      <c r="A68">
        <v>67</v>
      </c>
      <c r="B68" t="s">
        <v>58</v>
      </c>
      <c r="C68" t="s">
        <v>58</v>
      </c>
      <c r="D68" t="s">
        <v>507</v>
      </c>
      <c r="E68" t="s">
        <v>508</v>
      </c>
      <c r="F68" t="s">
        <v>561</v>
      </c>
      <c r="G68" t="s">
        <v>128</v>
      </c>
      <c r="H68" t="s">
        <v>509</v>
      </c>
      <c r="J68" t="s">
        <v>94</v>
      </c>
      <c r="K68" t="s">
        <v>510</v>
      </c>
      <c r="L68" t="s">
        <v>511</v>
      </c>
    </row>
    <row r="69" spans="1:12" x14ac:dyDescent="0.25">
      <c r="A69">
        <v>68</v>
      </c>
      <c r="B69" t="s">
        <v>207</v>
      </c>
      <c r="C69" t="s">
        <v>207</v>
      </c>
      <c r="D69" t="s">
        <v>208</v>
      </c>
      <c r="E69" t="s">
        <v>209</v>
      </c>
      <c r="F69" t="s">
        <v>564</v>
      </c>
      <c r="G69" t="s">
        <v>210</v>
      </c>
      <c r="I69" t="s">
        <v>211</v>
      </c>
      <c r="J69" t="s">
        <v>212</v>
      </c>
      <c r="K69" t="s">
        <v>213</v>
      </c>
      <c r="L69" t="s">
        <v>207</v>
      </c>
    </row>
    <row r="70" spans="1:12" x14ac:dyDescent="0.25">
      <c r="A70">
        <v>69</v>
      </c>
      <c r="B70" t="s">
        <v>512</v>
      </c>
      <c r="C70" t="s">
        <v>512</v>
      </c>
      <c r="D70" t="s">
        <v>513</v>
      </c>
      <c r="E70" t="s">
        <v>514</v>
      </c>
      <c r="F70" t="s">
        <v>564</v>
      </c>
      <c r="G70" t="s">
        <v>128</v>
      </c>
      <c r="H70" t="s">
        <v>515</v>
      </c>
      <c r="J70" t="s">
        <v>516</v>
      </c>
      <c r="K70" t="s">
        <v>517</v>
      </c>
      <c r="L70" t="s">
        <v>512</v>
      </c>
    </row>
    <row r="71" spans="1:12" x14ac:dyDescent="0.25">
      <c r="A71">
        <v>70</v>
      </c>
      <c r="B71" t="s">
        <v>147</v>
      </c>
      <c r="C71" t="s">
        <v>147</v>
      </c>
      <c r="D71" t="s">
        <v>148</v>
      </c>
      <c r="E71" t="s">
        <v>149</v>
      </c>
      <c r="F71" t="s">
        <v>560</v>
      </c>
      <c r="G71" t="s">
        <v>128</v>
      </c>
      <c r="H71" t="s">
        <v>150</v>
      </c>
      <c r="J71" t="s">
        <v>151</v>
      </c>
      <c r="K71" t="s">
        <v>152</v>
      </c>
      <c r="L71" t="s">
        <v>153</v>
      </c>
    </row>
    <row r="72" spans="1:12" x14ac:dyDescent="0.25">
      <c r="A72">
        <v>71</v>
      </c>
      <c r="B72" t="s">
        <v>270</v>
      </c>
      <c r="C72" t="s">
        <v>270</v>
      </c>
      <c r="D72" t="s">
        <v>271</v>
      </c>
      <c r="E72" t="s">
        <v>272</v>
      </c>
      <c r="F72" t="s">
        <v>569</v>
      </c>
      <c r="G72" t="s">
        <v>128</v>
      </c>
      <c r="H72" t="s">
        <v>273</v>
      </c>
      <c r="J72" t="s">
        <v>274</v>
      </c>
      <c r="K72" t="s">
        <v>275</v>
      </c>
      <c r="L72" t="s">
        <v>276</v>
      </c>
    </row>
    <row r="73" spans="1:12" x14ac:dyDescent="0.25">
      <c r="A73">
        <v>72</v>
      </c>
      <c r="B73" t="s">
        <v>59</v>
      </c>
      <c r="C73" t="s">
        <v>59</v>
      </c>
      <c r="D73" t="s">
        <v>232</v>
      </c>
      <c r="E73" t="s">
        <v>518</v>
      </c>
      <c r="F73" t="s">
        <v>564</v>
      </c>
      <c r="G73" t="s">
        <v>210</v>
      </c>
      <c r="I73" t="s">
        <v>519</v>
      </c>
      <c r="J73" t="s">
        <v>95</v>
      </c>
      <c r="K73" t="s">
        <v>520</v>
      </c>
      <c r="L73" t="s">
        <v>521</v>
      </c>
    </row>
    <row r="74" spans="1:12" x14ac:dyDescent="0.25">
      <c r="A74">
        <v>73</v>
      </c>
      <c r="B74" t="s">
        <v>522</v>
      </c>
      <c r="C74" t="s">
        <v>523</v>
      </c>
      <c r="D74" t="s">
        <v>524</v>
      </c>
      <c r="E74" t="s">
        <v>525</v>
      </c>
      <c r="F74" t="s">
        <v>560</v>
      </c>
      <c r="G74" t="s">
        <v>128</v>
      </c>
      <c r="H74" t="s">
        <v>526</v>
      </c>
      <c r="J74" t="s">
        <v>96</v>
      </c>
      <c r="K74" t="s">
        <v>527</v>
      </c>
      <c r="L74" t="s">
        <v>528</v>
      </c>
    </row>
    <row r="75" spans="1:12" x14ac:dyDescent="0.25">
      <c r="A75">
        <v>74</v>
      </c>
      <c r="B75" t="s">
        <v>277</v>
      </c>
      <c r="C75" t="s">
        <v>277</v>
      </c>
      <c r="D75" t="s">
        <v>278</v>
      </c>
      <c r="E75" t="s">
        <v>279</v>
      </c>
      <c r="F75" t="s">
        <v>563</v>
      </c>
      <c r="G75" t="s">
        <v>128</v>
      </c>
      <c r="H75" t="s">
        <v>280</v>
      </c>
      <c r="J75" t="s">
        <v>281</v>
      </c>
      <c r="K75" t="s">
        <v>282</v>
      </c>
      <c r="L75" t="s">
        <v>283</v>
      </c>
    </row>
    <row r="76" spans="1:12" x14ac:dyDescent="0.25">
      <c r="A76">
        <v>75</v>
      </c>
      <c r="B76" t="s">
        <v>62</v>
      </c>
      <c r="C76" t="s">
        <v>62</v>
      </c>
      <c r="D76" t="s">
        <v>529</v>
      </c>
      <c r="E76" t="s">
        <v>530</v>
      </c>
      <c r="F76" t="s">
        <v>560</v>
      </c>
      <c r="G76" t="s">
        <v>128</v>
      </c>
      <c r="H76" t="s">
        <v>531</v>
      </c>
      <c r="J76" t="s">
        <v>532</v>
      </c>
      <c r="K76" t="s">
        <v>533</v>
      </c>
      <c r="L76" t="s">
        <v>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6410-84D7-433F-A9F9-3E400D2D3DAB}">
  <dimension ref="A1:Q24"/>
  <sheetViews>
    <sheetView topLeftCell="H1" workbookViewId="0">
      <selection activeCell="J10" sqref="J10"/>
    </sheetView>
  </sheetViews>
  <sheetFormatPr defaultRowHeight="15" x14ac:dyDescent="0.25"/>
  <cols>
    <col min="1" max="1" width="53.7109375" customWidth="1"/>
    <col min="2" max="15" width="71.42578125" customWidth="1"/>
    <col min="16" max="16" width="60.28515625" customWidth="1"/>
    <col min="17" max="17" width="71.42578125" customWidth="1"/>
  </cols>
  <sheetData>
    <row r="1" spans="1:17" x14ac:dyDescent="0.25">
      <c r="A1" t="s">
        <v>578</v>
      </c>
      <c r="B1" t="s">
        <v>579</v>
      </c>
      <c r="C1" t="s">
        <v>580</v>
      </c>
      <c r="D1" t="s">
        <v>581</v>
      </c>
      <c r="E1" t="s">
        <v>582</v>
      </c>
      <c r="F1" t="s">
        <v>583</v>
      </c>
      <c r="G1" t="s">
        <v>584</v>
      </c>
      <c r="H1" t="s">
        <v>585</v>
      </c>
      <c r="I1" t="s">
        <v>586</v>
      </c>
      <c r="J1" t="s">
        <v>771</v>
      </c>
      <c r="K1" t="s">
        <v>588</v>
      </c>
      <c r="L1" t="s">
        <v>587</v>
      </c>
      <c r="M1" t="s">
        <v>589</v>
      </c>
      <c r="N1" t="s">
        <v>590</v>
      </c>
      <c r="O1" t="s">
        <v>591</v>
      </c>
      <c r="P1" t="s">
        <v>592</v>
      </c>
      <c r="Q1" t="s">
        <v>593</v>
      </c>
    </row>
    <row r="2" spans="1:17" x14ac:dyDescent="0.25">
      <c r="A2">
        <v>1</v>
      </c>
      <c r="B2" t="s">
        <v>561</v>
      </c>
      <c r="C2" t="s">
        <v>596</v>
      </c>
      <c r="D2" t="s">
        <v>605</v>
      </c>
      <c r="F2" t="s">
        <v>561</v>
      </c>
      <c r="G2" t="s">
        <v>600</v>
      </c>
      <c r="H2" t="s">
        <v>601</v>
      </c>
      <c r="I2">
        <v>87507</v>
      </c>
      <c r="J2"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4001 Office Court Drive, Suite 1001 Santa Fe NM 87507</v>
      </c>
      <c r="K2" t="s">
        <v>607</v>
      </c>
      <c r="L2" t="s">
        <v>606</v>
      </c>
      <c r="N2" t="s">
        <v>731</v>
      </c>
      <c r="O2" t="s">
        <v>733</v>
      </c>
      <c r="P2" t="s">
        <v>99</v>
      </c>
      <c r="Q2" t="s">
        <v>608</v>
      </c>
    </row>
    <row r="3" spans="1:17" x14ac:dyDescent="0.25">
      <c r="A3">
        <v>2</v>
      </c>
      <c r="B3" t="s">
        <v>565</v>
      </c>
      <c r="C3" t="s">
        <v>596</v>
      </c>
      <c r="D3" t="s">
        <v>597</v>
      </c>
      <c r="E3" t="s">
        <v>598</v>
      </c>
      <c r="F3" t="s">
        <v>599</v>
      </c>
      <c r="G3" t="s">
        <v>600</v>
      </c>
      <c r="H3" t="s">
        <v>601</v>
      </c>
      <c r="I3">
        <v>88124</v>
      </c>
      <c r="J3"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1304 CR AB Melrose NM 88124</v>
      </c>
      <c r="K3" t="s">
        <v>603</v>
      </c>
      <c r="L3" t="s">
        <v>602</v>
      </c>
      <c r="N3" t="s">
        <v>731</v>
      </c>
      <c r="O3" t="s">
        <v>13</v>
      </c>
      <c r="P3" t="s">
        <v>100</v>
      </c>
      <c r="Q3" t="s">
        <v>604</v>
      </c>
    </row>
    <row r="4" spans="1:17" x14ac:dyDescent="0.25">
      <c r="A4">
        <v>3</v>
      </c>
      <c r="B4" t="s">
        <v>574</v>
      </c>
      <c r="C4" t="s">
        <v>596</v>
      </c>
      <c r="D4" t="s">
        <v>676</v>
      </c>
      <c r="F4" t="s">
        <v>677</v>
      </c>
      <c r="G4" t="s">
        <v>630</v>
      </c>
      <c r="H4" t="s">
        <v>601</v>
      </c>
      <c r="I4">
        <v>88435</v>
      </c>
      <c r="J4"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586 S Ninth St Santa Rosa New Mexico 88435</v>
      </c>
      <c r="K4" t="s">
        <v>679</v>
      </c>
      <c r="L4" t="s">
        <v>678</v>
      </c>
      <c r="N4" t="s">
        <v>731</v>
      </c>
      <c r="O4" t="s">
        <v>14</v>
      </c>
      <c r="P4" t="s">
        <v>101</v>
      </c>
      <c r="Q4" t="s">
        <v>680</v>
      </c>
    </row>
    <row r="5" spans="1:17" x14ac:dyDescent="0.25">
      <c r="A5">
        <v>4</v>
      </c>
      <c r="B5" t="s">
        <v>565</v>
      </c>
      <c r="C5" t="s">
        <v>596</v>
      </c>
      <c r="D5" t="s">
        <v>658</v>
      </c>
      <c r="F5" t="s">
        <v>659</v>
      </c>
      <c r="G5" t="s">
        <v>600</v>
      </c>
      <c r="H5" t="s">
        <v>601</v>
      </c>
      <c r="I5">
        <v>88401</v>
      </c>
      <c r="J5"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6502 Quay Rd. AM 5 Tucumcari NM 88401</v>
      </c>
      <c r="K5" t="s">
        <v>661</v>
      </c>
      <c r="L5" t="s">
        <v>660</v>
      </c>
      <c r="N5" t="s">
        <v>662</v>
      </c>
      <c r="O5" t="s">
        <v>663</v>
      </c>
      <c r="P5" t="s">
        <v>664</v>
      </c>
      <c r="Q5" t="s">
        <v>665</v>
      </c>
    </row>
    <row r="6" spans="1:17" x14ac:dyDescent="0.25">
      <c r="A6">
        <v>5</v>
      </c>
      <c r="B6" t="s">
        <v>729</v>
      </c>
      <c r="C6" t="s">
        <v>596</v>
      </c>
      <c r="D6" t="s">
        <v>681</v>
      </c>
      <c r="F6" t="s">
        <v>682</v>
      </c>
      <c r="G6" t="s">
        <v>600</v>
      </c>
      <c r="H6" t="s">
        <v>601</v>
      </c>
      <c r="I6">
        <v>88101</v>
      </c>
      <c r="J6"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918 Parkland Dr. Clovis NM 88101</v>
      </c>
      <c r="K6" t="s">
        <v>684</v>
      </c>
      <c r="L6" t="s">
        <v>683</v>
      </c>
      <c r="N6" t="s">
        <v>731</v>
      </c>
      <c r="O6" t="s">
        <v>15</v>
      </c>
      <c r="P6" t="s">
        <v>100</v>
      </c>
      <c r="Q6" t="s">
        <v>686</v>
      </c>
    </row>
    <row r="7" spans="1:17" x14ac:dyDescent="0.25">
      <c r="A7">
        <v>6</v>
      </c>
      <c r="B7" t="s">
        <v>728</v>
      </c>
      <c r="C7" t="s">
        <v>596</v>
      </c>
      <c r="D7" t="s">
        <v>609</v>
      </c>
      <c r="F7" t="s">
        <v>610</v>
      </c>
      <c r="G7" t="s">
        <v>600</v>
      </c>
      <c r="H7" t="s">
        <v>601</v>
      </c>
      <c r="I7">
        <v>88130</v>
      </c>
      <c r="J7"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050 New Mexico Highway 467 Portales NM 88130</v>
      </c>
      <c r="K7" t="s">
        <v>612</v>
      </c>
      <c r="L7" t="s">
        <v>611</v>
      </c>
      <c r="N7" t="s">
        <v>731</v>
      </c>
      <c r="O7" t="s">
        <v>16</v>
      </c>
      <c r="P7" t="s">
        <v>614</v>
      </c>
      <c r="Q7" t="s">
        <v>615</v>
      </c>
    </row>
    <row r="8" spans="1:17" x14ac:dyDescent="0.25">
      <c r="A8">
        <v>7</v>
      </c>
      <c r="B8" t="s">
        <v>561</v>
      </c>
      <c r="C8" t="s">
        <v>596</v>
      </c>
      <c r="D8" t="s">
        <v>628</v>
      </c>
      <c r="F8" t="s">
        <v>629</v>
      </c>
      <c r="G8" t="s">
        <v>630</v>
      </c>
      <c r="H8" t="s">
        <v>601</v>
      </c>
      <c r="I8">
        <v>87507</v>
      </c>
      <c r="J8"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3229 Rodeo Rd Santa Fe, NM New Mexico 87507</v>
      </c>
      <c r="K8" t="s">
        <v>632</v>
      </c>
      <c r="L8" t="s">
        <v>631</v>
      </c>
      <c r="N8" t="s">
        <v>633</v>
      </c>
      <c r="O8" t="s">
        <v>17</v>
      </c>
      <c r="P8" t="s">
        <v>634</v>
      </c>
      <c r="Q8" t="s">
        <v>635</v>
      </c>
    </row>
    <row r="9" spans="1:17" x14ac:dyDescent="0.25">
      <c r="A9">
        <v>8</v>
      </c>
      <c r="B9" t="s">
        <v>567</v>
      </c>
      <c r="C9" t="s">
        <v>596</v>
      </c>
      <c r="D9" t="s">
        <v>687</v>
      </c>
      <c r="F9" t="s">
        <v>688</v>
      </c>
      <c r="G9" t="s">
        <v>630</v>
      </c>
      <c r="H9" t="s">
        <v>601</v>
      </c>
      <c r="I9">
        <v>88201</v>
      </c>
      <c r="J9"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1703 N Garden Ave Suite A Roswell New Mexico 88201</v>
      </c>
      <c r="K9" t="s">
        <v>690</v>
      </c>
      <c r="L9" t="s">
        <v>689</v>
      </c>
      <c r="N9" t="s">
        <v>731</v>
      </c>
      <c r="O9" t="s">
        <v>18</v>
      </c>
      <c r="P9" t="s">
        <v>104</v>
      </c>
      <c r="Q9" t="s">
        <v>692</v>
      </c>
    </row>
    <row r="10" spans="1:17" x14ac:dyDescent="0.25">
      <c r="A10">
        <v>9</v>
      </c>
      <c r="B10" t="s">
        <v>560</v>
      </c>
      <c r="C10" t="s">
        <v>210</v>
      </c>
      <c r="J10"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 xml:space="preserve">   </v>
      </c>
      <c r="M10" t="s">
        <v>636</v>
      </c>
      <c r="N10" t="s">
        <v>731</v>
      </c>
      <c r="O10" t="s">
        <v>734</v>
      </c>
      <c r="P10" t="s">
        <v>638</v>
      </c>
      <c r="Q10" t="s">
        <v>639</v>
      </c>
    </row>
    <row r="11" spans="1:17" x14ac:dyDescent="0.25">
      <c r="A11">
        <v>10</v>
      </c>
      <c r="B11" t="s">
        <v>574</v>
      </c>
      <c r="C11" t="s">
        <v>596</v>
      </c>
      <c r="D11" t="s">
        <v>676</v>
      </c>
      <c r="F11" t="s">
        <v>677</v>
      </c>
      <c r="G11" t="s">
        <v>630</v>
      </c>
      <c r="H11" t="s">
        <v>601</v>
      </c>
      <c r="I11">
        <v>88435</v>
      </c>
      <c r="J11"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586 S Ninth St Santa Rosa New Mexico 88435</v>
      </c>
      <c r="K11" t="s">
        <v>679</v>
      </c>
      <c r="L11" t="s">
        <v>678</v>
      </c>
      <c r="N11" t="s">
        <v>731</v>
      </c>
      <c r="O11" t="s">
        <v>14</v>
      </c>
      <c r="P11" t="s">
        <v>105</v>
      </c>
      <c r="Q11" t="s">
        <v>694</v>
      </c>
    </row>
    <row r="12" spans="1:17" x14ac:dyDescent="0.25">
      <c r="A12">
        <v>11</v>
      </c>
      <c r="B12" t="s">
        <v>562</v>
      </c>
      <c r="C12" t="s">
        <v>596</v>
      </c>
      <c r="D12" t="s">
        <v>695</v>
      </c>
      <c r="F12" t="s">
        <v>696</v>
      </c>
      <c r="G12" t="s">
        <v>600</v>
      </c>
      <c r="H12" t="s">
        <v>601</v>
      </c>
      <c r="I12">
        <v>87072</v>
      </c>
      <c r="J12"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255 Cochiti St Cochiti Pueblo NM 87072</v>
      </c>
      <c r="K12" t="s">
        <v>698</v>
      </c>
      <c r="L12" t="s">
        <v>697</v>
      </c>
      <c r="N12" t="s">
        <v>732</v>
      </c>
      <c r="O12" t="s">
        <v>19</v>
      </c>
      <c r="P12" t="s">
        <v>106</v>
      </c>
      <c r="Q12" t="s">
        <v>699</v>
      </c>
    </row>
    <row r="13" spans="1:17" x14ac:dyDescent="0.25">
      <c r="A13">
        <v>12</v>
      </c>
      <c r="B13" t="s">
        <v>564</v>
      </c>
      <c r="C13" t="s">
        <v>596</v>
      </c>
      <c r="D13" t="s">
        <v>616</v>
      </c>
      <c r="F13" t="s">
        <v>564</v>
      </c>
      <c r="G13" t="s">
        <v>600</v>
      </c>
      <c r="H13" t="s">
        <v>601</v>
      </c>
      <c r="I13">
        <v>87571</v>
      </c>
      <c r="J13"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410 La Posta Road Taos NM 87571</v>
      </c>
      <c r="K13" t="s">
        <v>618</v>
      </c>
      <c r="L13" t="s">
        <v>617</v>
      </c>
      <c r="N13" t="s">
        <v>619</v>
      </c>
      <c r="O13" t="s">
        <v>620</v>
      </c>
      <c r="P13" t="s">
        <v>621</v>
      </c>
      <c r="Q13" t="s">
        <v>622</v>
      </c>
    </row>
    <row r="14" spans="1:17" x14ac:dyDescent="0.25">
      <c r="A14">
        <v>13</v>
      </c>
      <c r="B14" t="s">
        <v>561</v>
      </c>
      <c r="C14" t="s">
        <v>210</v>
      </c>
      <c r="J14"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 xml:space="preserve">   </v>
      </c>
      <c r="M14" t="s">
        <v>640</v>
      </c>
      <c r="N14" t="s">
        <v>619</v>
      </c>
      <c r="O14" t="s">
        <v>641</v>
      </c>
      <c r="P14" t="s">
        <v>642</v>
      </c>
      <c r="Q14" t="s">
        <v>643</v>
      </c>
    </row>
    <row r="15" spans="1:17" x14ac:dyDescent="0.25">
      <c r="A15">
        <v>14</v>
      </c>
      <c r="B15" t="s">
        <v>727</v>
      </c>
      <c r="C15" t="s">
        <v>210</v>
      </c>
      <c r="J15"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 xml:space="preserve">   </v>
      </c>
      <c r="M15" t="s">
        <v>594</v>
      </c>
      <c r="N15" t="s">
        <v>732</v>
      </c>
      <c r="O15" t="s">
        <v>20</v>
      </c>
      <c r="P15" t="s">
        <v>107</v>
      </c>
      <c r="Q15" t="s">
        <v>595</v>
      </c>
    </row>
    <row r="16" spans="1:17" x14ac:dyDescent="0.25">
      <c r="A16">
        <v>15</v>
      </c>
      <c r="B16" t="s">
        <v>563</v>
      </c>
      <c r="C16" t="s">
        <v>596</v>
      </c>
      <c r="D16" t="s">
        <v>623</v>
      </c>
      <c r="F16" t="s">
        <v>624</v>
      </c>
      <c r="G16" t="s">
        <v>600</v>
      </c>
      <c r="H16" t="s">
        <v>601</v>
      </c>
      <c r="I16">
        <v>87537</v>
      </c>
      <c r="J16"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19283 US Highway 84/285 Suite 112 Hernandez NM 87537</v>
      </c>
      <c r="K16" t="s">
        <v>626</v>
      </c>
      <c r="L16" t="s">
        <v>625</v>
      </c>
      <c r="N16" t="s">
        <v>731</v>
      </c>
      <c r="O16" t="s">
        <v>21</v>
      </c>
      <c r="P16" t="s">
        <v>108</v>
      </c>
      <c r="Q16" t="s">
        <v>627</v>
      </c>
    </row>
    <row r="17" spans="1:17" x14ac:dyDescent="0.25">
      <c r="A17">
        <v>16</v>
      </c>
      <c r="B17" t="s">
        <v>564</v>
      </c>
      <c r="C17" t="s">
        <v>596</v>
      </c>
      <c r="D17" t="s">
        <v>700</v>
      </c>
      <c r="F17" t="s">
        <v>701</v>
      </c>
      <c r="G17" t="s">
        <v>600</v>
      </c>
      <c r="H17" t="s">
        <v>601</v>
      </c>
      <c r="I17">
        <v>87564</v>
      </c>
      <c r="J17"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38 Camino del Medio San Cristobal NM 87564</v>
      </c>
      <c r="K17" t="s">
        <v>703</v>
      </c>
      <c r="L17" t="s">
        <v>702</v>
      </c>
      <c r="N17" t="s">
        <v>619</v>
      </c>
      <c r="O17" t="s">
        <v>704</v>
      </c>
      <c r="P17" t="s">
        <v>705</v>
      </c>
      <c r="Q17" t="s">
        <v>706</v>
      </c>
    </row>
    <row r="18" spans="1:17" x14ac:dyDescent="0.25">
      <c r="A18">
        <v>17</v>
      </c>
      <c r="B18" t="s">
        <v>560</v>
      </c>
      <c r="C18" t="s">
        <v>596</v>
      </c>
      <c r="D18" t="s">
        <v>644</v>
      </c>
      <c r="F18" t="s">
        <v>645</v>
      </c>
      <c r="G18" t="s">
        <v>630</v>
      </c>
      <c r="H18" t="s">
        <v>601</v>
      </c>
      <c r="I18">
        <v>87105</v>
      </c>
      <c r="J18"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5945 Isleta Blvd SW Albuquerque New Mexico 87105</v>
      </c>
      <c r="K18" t="s">
        <v>647</v>
      </c>
      <c r="L18" t="s">
        <v>646</v>
      </c>
      <c r="N18" t="s">
        <v>731</v>
      </c>
      <c r="O18" t="s">
        <v>734</v>
      </c>
      <c r="P18" t="s">
        <v>648</v>
      </c>
      <c r="Q18" t="s">
        <v>649</v>
      </c>
    </row>
    <row r="19" spans="1:17" x14ac:dyDescent="0.25">
      <c r="A19">
        <v>18</v>
      </c>
      <c r="B19" t="s">
        <v>562</v>
      </c>
      <c r="C19" t="s">
        <v>596</v>
      </c>
      <c r="D19" t="s">
        <v>707</v>
      </c>
      <c r="F19" t="s">
        <v>560</v>
      </c>
      <c r="G19" t="s">
        <v>600</v>
      </c>
      <c r="H19" t="s">
        <v>601</v>
      </c>
      <c r="I19">
        <v>87004</v>
      </c>
      <c r="J19"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118 Calle Malinche Bernalillo NM 87004</v>
      </c>
      <c r="K19" t="s">
        <v>709</v>
      </c>
      <c r="L19" t="s">
        <v>708</v>
      </c>
      <c r="N19" t="s">
        <v>662</v>
      </c>
      <c r="O19" t="s">
        <v>710</v>
      </c>
      <c r="P19" t="s">
        <v>711</v>
      </c>
      <c r="Q19" t="s">
        <v>712</v>
      </c>
    </row>
    <row r="20" spans="1:17" x14ac:dyDescent="0.25">
      <c r="A20">
        <v>19</v>
      </c>
      <c r="B20" t="s">
        <v>564</v>
      </c>
      <c r="C20" t="s">
        <v>596</v>
      </c>
      <c r="D20" t="s">
        <v>666</v>
      </c>
      <c r="F20" t="s">
        <v>564</v>
      </c>
      <c r="G20" t="s">
        <v>600</v>
      </c>
      <c r="H20" t="s">
        <v>601</v>
      </c>
      <c r="I20">
        <v>87571</v>
      </c>
      <c r="J20"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220 Chamisa Rd Taos NM 87571</v>
      </c>
      <c r="K20" t="s">
        <v>668</v>
      </c>
      <c r="L20" t="s">
        <v>667</v>
      </c>
      <c r="N20" t="s">
        <v>731</v>
      </c>
      <c r="O20" t="s">
        <v>22</v>
      </c>
      <c r="P20" t="s">
        <v>109</v>
      </c>
      <c r="Q20" t="s">
        <v>670</v>
      </c>
    </row>
    <row r="21" spans="1:17" x14ac:dyDescent="0.25">
      <c r="A21">
        <v>20</v>
      </c>
      <c r="B21" t="s">
        <v>566</v>
      </c>
      <c r="C21" t="s">
        <v>596</v>
      </c>
      <c r="D21" t="s">
        <v>650</v>
      </c>
      <c r="E21" t="s">
        <v>651</v>
      </c>
      <c r="F21" t="s">
        <v>652</v>
      </c>
      <c r="G21" t="s">
        <v>653</v>
      </c>
      <c r="H21" t="s">
        <v>601</v>
      </c>
      <c r="I21">
        <v>87016</v>
      </c>
      <c r="J21"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715 S. 5th St Estancia New Mecxico 87016</v>
      </c>
      <c r="K21" t="s">
        <v>655</v>
      </c>
      <c r="L21" t="s">
        <v>654</v>
      </c>
      <c r="N21" t="s">
        <v>731</v>
      </c>
      <c r="O21" t="s">
        <v>735</v>
      </c>
      <c r="P21" t="s">
        <v>656</v>
      </c>
      <c r="Q21" t="s">
        <v>657</v>
      </c>
    </row>
    <row r="22" spans="1:17" x14ac:dyDescent="0.25">
      <c r="A22">
        <v>21</v>
      </c>
      <c r="B22" t="s">
        <v>730</v>
      </c>
      <c r="C22" t="s">
        <v>596</v>
      </c>
      <c r="D22" t="s">
        <v>713</v>
      </c>
      <c r="F22" t="s">
        <v>714</v>
      </c>
      <c r="G22" t="s">
        <v>600</v>
      </c>
      <c r="H22" t="s">
        <v>601</v>
      </c>
      <c r="I22">
        <v>88316</v>
      </c>
      <c r="J22"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267 Main Road Capitan NM 88316</v>
      </c>
      <c r="K22" t="s">
        <v>716</v>
      </c>
      <c r="L22" t="s">
        <v>715</v>
      </c>
      <c r="N22" t="s">
        <v>731</v>
      </c>
      <c r="O22" t="s">
        <v>736</v>
      </c>
      <c r="P22" t="s">
        <v>717</v>
      </c>
      <c r="Q22" t="s">
        <v>718</v>
      </c>
    </row>
    <row r="23" spans="1:17" x14ac:dyDescent="0.25">
      <c r="A23">
        <v>22</v>
      </c>
      <c r="B23" t="s">
        <v>568</v>
      </c>
      <c r="C23" t="s">
        <v>596</v>
      </c>
      <c r="D23" t="s">
        <v>719</v>
      </c>
      <c r="E23" t="s">
        <v>720</v>
      </c>
      <c r="F23" t="s">
        <v>721</v>
      </c>
      <c r="G23" t="s">
        <v>600</v>
      </c>
      <c r="H23" t="s">
        <v>601</v>
      </c>
      <c r="I23">
        <v>87499</v>
      </c>
      <c r="J23"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PO Drawer 1318 Farmington NM 87499</v>
      </c>
      <c r="K23" t="s">
        <v>723</v>
      </c>
      <c r="L23" t="s">
        <v>722</v>
      </c>
      <c r="N23" t="s">
        <v>732</v>
      </c>
      <c r="O23" t="s">
        <v>724</v>
      </c>
      <c r="P23" t="s">
        <v>725</v>
      </c>
      <c r="Q23" t="s">
        <v>726</v>
      </c>
    </row>
    <row r="24" spans="1:17" x14ac:dyDescent="0.25">
      <c r="A24">
        <v>23</v>
      </c>
      <c r="B24" t="s">
        <v>558</v>
      </c>
      <c r="C24" t="s">
        <v>596</v>
      </c>
      <c r="D24" t="s">
        <v>671</v>
      </c>
      <c r="F24" t="s">
        <v>672</v>
      </c>
      <c r="G24" t="s">
        <v>600</v>
      </c>
      <c r="H24" t="s">
        <v>601</v>
      </c>
      <c r="I24">
        <v>88081</v>
      </c>
      <c r="J24" t="str">
        <f>Table3[[#This Row],[What is the physical address of the project site(s)? : Address 1 (FY26 Healthy Soil Program Grant for Eligible Entities)]]&amp;" "&amp;Table3[[#This Row],[What is the physical address of the project site(s)? : City (FY26 Healthy Soil Program Grant for Eligible Entities)]]&amp;" "&amp;Table3[[#This Row],[What is the physical address of the project site(s)? : Region (FY26 Healthy Soil Program Grant for Eligible Entities)]]&amp;" "&amp;Table3[[#This Row],[What is the physical address of the project site(s)? : Postal Code (FY26 Healthy Soil Program Grant for Eligible Entities)]]</f>
        <v>Various Las Cruces, Chaparral, Vado and Mesquite NM 88081</v>
      </c>
      <c r="K24" t="s">
        <v>674</v>
      </c>
      <c r="L24" t="s">
        <v>673</v>
      </c>
      <c r="N24" t="s">
        <v>731</v>
      </c>
      <c r="O24" t="s">
        <v>24</v>
      </c>
      <c r="P24" t="s">
        <v>111</v>
      </c>
      <c r="Q24" t="s">
        <v>675</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FY26_ALL</vt:lpstr>
      <vt:lpstr>NWMG_Lookup</vt:lpstr>
      <vt:lpstr>DOG_Lookup</vt:lpstr>
      <vt:lpstr>HSPIA_lookup</vt:lpstr>
      <vt:lpstr>HSPEE_lookup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Colin</dc:creator>
  <cp:lastModifiedBy>Burruss, Dylan</cp:lastModifiedBy>
  <dcterms:created xsi:type="dcterms:W3CDTF">2025-11-19T23:41:02Z</dcterms:created>
  <dcterms:modified xsi:type="dcterms:W3CDTF">2025-12-16T23:41:08Z</dcterms:modified>
</cp:coreProperties>
</file>